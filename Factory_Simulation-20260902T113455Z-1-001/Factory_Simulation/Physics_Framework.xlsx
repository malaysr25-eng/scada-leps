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READ ME" sheetId="1" state="visible" r:id="rId1"/>
    <sheet xmlns:r="http://schemas.openxmlformats.org/officeDocument/2006/relationships" name="Input Register" sheetId="2" state="visible" r:id="rId2"/>
    <sheet xmlns:r="http://schemas.openxmlformats.org/officeDocument/2006/relationships" name="PLC IO Map" sheetId="3" state="visible" r:id="rId3"/>
    <sheet xmlns:r="http://schemas.openxmlformats.org/officeDocument/2006/relationships" name="Sequence Equations" sheetId="4" state="visible" r:id="rId4"/>
    <sheet xmlns:r="http://schemas.openxmlformats.org/officeDocument/2006/relationships" name="Equation Set" sheetId="5" state="visible" r:id="rId5"/>
    <sheet xmlns:r="http://schemas.openxmlformats.org/officeDocument/2006/relationships" name="PLC Access" sheetId="6" state="visible" r:id="rId6"/>
  </sheets>
  <definedNames/>
  <calcPr calcId="191029" fullCalcOnLoad="1"/>
</workbook>
</file>

<file path=xl/styles.xml><?xml version="1.0" encoding="utf-8"?>
<styleSheet xmlns="http://schemas.openxmlformats.org/spreadsheetml/2006/main">
  <numFmts count="1">
    <numFmt numFmtId="164" formatCode="0.000"/>
  </numFmts>
  <fonts count="20">
    <font>
      <name val="Calibri"/>
      <family val="2"/>
      <color theme="1"/>
      <sz val="11"/>
      <scheme val="minor"/>
    </font>
    <font>
      <name val="Arial"/>
      <sz val="10"/>
    </font>
    <font>
      <name val="Arial"/>
      <b val="1"/>
      <color rgb="FF1F3864"/>
      <sz val="14"/>
    </font>
    <font>
      <name val="Arial"/>
      <b val="1"/>
      <sz val="10"/>
    </font>
    <font>
      <name val="Arial"/>
      <b val="1"/>
      <color rgb="FFC00000"/>
      <sz val="10"/>
    </font>
    <font>
      <name val="Arial"/>
      <b val="1"/>
      <color rgb="FF1F3864"/>
      <sz val="13"/>
    </font>
    <font>
      <name val="Arial"/>
      <i val="1"/>
      <color rgb="FF595959"/>
      <sz val="9"/>
    </font>
    <font>
      <name val="Arial"/>
      <b val="1"/>
      <color rgb="FFFFFFFF"/>
      <sz val="11"/>
    </font>
    <font>
      <name val="Arial"/>
      <color rgb="FF000000"/>
      <sz val="10"/>
    </font>
    <font>
      <name val="Consolas"/>
      <sz val="9"/>
    </font>
    <font>
      <name val="Arial"/>
      <color rgb="FF595959"/>
      <sz val="9"/>
    </font>
    <font>
      <name val="Arial"/>
      <b val="1"/>
      <color rgb="FF0000FF"/>
      <sz val="10"/>
    </font>
    <font>
      <name val="Arial"/>
      <b val="1"/>
      <color rgb="00FFFFFF"/>
    </font>
    <font>
      <b val="1"/>
      <color rgb="FF1F3864"/>
      <sz val="13"/>
    </font>
    <font>
      <i val="1"/>
      <sz val="9"/>
    </font>
    <font>
      <i val="1"/>
      <color rgb="FFC00000"/>
      <sz val="9"/>
    </font>
    <font>
      <b val="1"/>
      <color rgb="FFFFFFFF"/>
      <sz val="11"/>
    </font>
    <font>
      <b val="1"/>
      <sz val="10"/>
    </font>
    <font>
      <name val="Consolas"/>
      <sz val="10"/>
    </font>
    <font>
      <sz val="9"/>
    </font>
  </fonts>
  <fills count="12">
    <fill>
      <patternFill/>
    </fill>
    <fill>
      <patternFill patternType="gray125"/>
    </fill>
    <fill>
      <patternFill patternType="solid">
        <fgColor rgb="FF1F3864"/>
      </patternFill>
    </fill>
    <fill>
      <patternFill patternType="solid">
        <fgColor rgb="FFFFC7CE"/>
      </patternFill>
    </fill>
    <fill>
      <patternFill patternType="solid">
        <fgColor rgb="FFD9E1F2"/>
      </patternFill>
    </fill>
    <fill>
      <patternFill patternType="solid">
        <fgColor rgb="FFE2EFDA"/>
      </patternFill>
    </fill>
    <fill>
      <patternFill patternType="solid">
        <fgColor rgb="FFFFF2CC"/>
      </patternFill>
    </fill>
    <fill>
      <patternFill patternType="solid">
        <fgColor rgb="FFFFFF00"/>
      </patternFill>
    </fill>
    <fill>
      <patternFill patternType="solid">
        <fgColor rgb="FFC6EFCE"/>
      </patternFill>
    </fill>
    <fill>
      <patternFill patternType="solid">
        <fgColor rgb="FFFFC7CE"/>
      </patternFill>
    </fill>
    <fill>
      <patternFill patternType="solid">
        <fgColor rgb="001F3864"/>
      </patternFill>
    </fill>
    <fill>
      <patternFill patternType="solid">
        <fgColor rgb="00C6EFCE"/>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808080"/>
      </left>
      <right style="thin">
        <color rgb="FF808080"/>
      </right>
      <top style="thin">
        <color rgb="FF808080"/>
      </top>
      <bottom style="thin">
        <color rgb="FF808080"/>
      </bottom>
    </border>
  </borders>
  <cellStyleXfs count="1">
    <xf numFmtId="0" fontId="0" fillId="0" borderId="0"/>
  </cellStyleXfs>
  <cellXfs count="65">
    <xf numFmtId="0" fontId="0" fillId="0" borderId="0" pivotButton="0" quotePrefix="0" xfId="0"/>
    <xf numFmtId="0" fontId="2" fillId="0" borderId="0" pivotButton="0" quotePrefix="0" xfId="0"/>
    <xf numFmtId="0" fontId="1"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3" fillId="3" borderId="1" pivotButton="0" quotePrefix="0" xfId="0"/>
    <xf numFmtId="0" fontId="0" fillId="3" borderId="1" pivotButton="0" quotePrefix="0" xfId="0"/>
    <xf numFmtId="0" fontId="1" fillId="0" borderId="1" applyAlignment="1" pivotButton="0" quotePrefix="0" xfId="0">
      <alignment vertical="top"/>
    </xf>
    <xf numFmtId="0" fontId="4" fillId="0" borderId="1" applyAlignment="1" pivotButton="0" quotePrefix="0" xfId="0">
      <alignment vertical="top"/>
    </xf>
    <xf numFmtId="0" fontId="4" fillId="0" borderId="1" applyAlignment="1" pivotButton="0" quotePrefix="0" xfId="0">
      <alignment vertical="top" wrapText="1"/>
    </xf>
    <xf numFmtId="0" fontId="3" fillId="4" borderId="1" pivotButton="0" quotePrefix="0" xfId="0"/>
    <xf numFmtId="0" fontId="0" fillId="4" borderId="1" pivotButton="0" quotePrefix="0" xfId="0"/>
    <xf numFmtId="0" fontId="1" fillId="0" borderId="1" applyAlignment="1" pivotButton="0" quotePrefix="0" xfId="0">
      <alignment vertical="top" wrapText="1"/>
    </xf>
    <xf numFmtId="0" fontId="3" fillId="5" borderId="1" pivotButton="0" quotePrefix="0" xfId="0"/>
    <xf numFmtId="0" fontId="0" fillId="5" borderId="1" pivotButton="0" quotePrefix="0" xfId="0"/>
    <xf numFmtId="0" fontId="1" fillId="0" borderId="0" applyAlignment="1" pivotButton="0" quotePrefix="0" xfId="0">
      <alignment vertical="top" wrapText="1"/>
    </xf>
    <xf numFmtId="0" fontId="6" fillId="0" borderId="0" applyAlignment="1" pivotButton="0" quotePrefix="0" xfId="0">
      <alignment vertical="top" wrapText="1"/>
    </xf>
    <xf numFmtId="0" fontId="3" fillId="6" borderId="1" pivotButton="0" quotePrefix="0" xfId="0"/>
    <xf numFmtId="0" fontId="0" fillId="6" borderId="1" pivotButton="0" quotePrefix="0" xfId="0"/>
    <xf numFmtId="0" fontId="0" fillId="0" borderId="1" applyAlignment="1" pivotButton="0" quotePrefix="0" xfId="0">
      <alignment vertical="top"/>
    </xf>
    <xf numFmtId="0" fontId="6" fillId="0" borderId="1" applyAlignment="1" pivotButton="0" quotePrefix="0" xfId="0">
      <alignment vertical="top" wrapText="1"/>
    </xf>
    <xf numFmtId="0" fontId="3" fillId="0" borderId="0" applyAlignment="1" pivotButton="0" quotePrefix="0" xfId="0">
      <alignment vertical="top" wrapText="1"/>
    </xf>
    <xf numFmtId="0" fontId="1" fillId="6" borderId="1" applyAlignment="1" pivotButton="0" quotePrefix="0" xfId="0">
      <alignment vertical="top"/>
    </xf>
    <xf numFmtId="0" fontId="1" fillId="6"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3" fillId="0" borderId="1" applyAlignment="1" pivotButton="0" quotePrefix="0" xfId="0">
      <alignment vertical="top" wrapText="1"/>
    </xf>
    <xf numFmtId="0" fontId="9" fillId="0" borderId="1" applyAlignment="1" pivotButton="0" quotePrefix="0" xfId="0">
      <alignment vertical="top" wrapText="1"/>
    </xf>
    <xf numFmtId="0" fontId="3" fillId="3" borderId="1" applyAlignment="1" pivotButton="0" quotePrefix="0" xfId="0">
      <alignment vertical="top" wrapText="1"/>
    </xf>
    <xf numFmtId="0" fontId="1" fillId="3" borderId="1" applyAlignment="1" pivotButton="0" quotePrefix="0" xfId="0">
      <alignment vertical="top" wrapText="1"/>
    </xf>
    <xf numFmtId="0" fontId="9" fillId="3" borderId="1" applyAlignment="1" pivotButton="0" quotePrefix="0" xfId="0">
      <alignment vertical="top" wrapText="1"/>
    </xf>
    <xf numFmtId="164" fontId="8" fillId="0" borderId="1" applyAlignment="1" pivotButton="0" quotePrefix="0" xfId="0">
      <alignment vertical="top"/>
    </xf>
    <xf numFmtId="0" fontId="10" fillId="0" borderId="0" pivotButton="0" quotePrefix="0" xfId="0"/>
    <xf numFmtId="0" fontId="7" fillId="2" borderId="1" applyAlignment="1" pivotButton="0" quotePrefix="0" xfId="0">
      <alignment vertical="center"/>
    </xf>
    <xf numFmtId="0" fontId="0" fillId="0" borderId="1" applyAlignment="1" pivotButton="0" quotePrefix="0" xfId="0">
      <alignment vertical="top" wrapText="1"/>
    </xf>
    <xf numFmtId="0" fontId="11" fillId="7" borderId="1" applyAlignment="1" pivotButton="0" quotePrefix="0" xfId="0">
      <alignment vertical="top"/>
    </xf>
    <xf numFmtId="0" fontId="11" fillId="7" borderId="1" applyAlignment="1" pivotButton="0" quotePrefix="0" xfId="0">
      <alignment vertical="top" wrapText="1"/>
    </xf>
    <xf numFmtId="0" fontId="11" fillId="8" borderId="1" applyAlignment="1" pivotButton="0" quotePrefix="0" xfId="0">
      <alignment vertical="top"/>
    </xf>
    <xf numFmtId="0" fontId="11" fillId="9" borderId="1" applyAlignment="1" pivotButton="0" quotePrefix="0" xfId="0">
      <alignment vertical="top"/>
    </xf>
    <xf numFmtId="0" fontId="4" fillId="0" borderId="0" applyAlignment="1" pivotButton="0" quotePrefix="0" xfId="0">
      <alignment vertical="top" wrapText="1"/>
    </xf>
    <xf numFmtId="0" fontId="0" fillId="0" borderId="0" pivotButton="0" quotePrefix="0" xfId="0"/>
    <xf numFmtId="0" fontId="1" fillId="0" borderId="0" applyAlignment="1" pivotButton="0" quotePrefix="0" xfId="0">
      <alignment vertical="top" wrapText="1"/>
    </xf>
    <xf numFmtId="0" fontId="3" fillId="4" borderId="1" pivotButton="0" quotePrefix="0" xfId="0"/>
    <xf numFmtId="0" fontId="0" fillId="0" borderId="2" pivotButton="0" quotePrefix="0" xfId="0"/>
    <xf numFmtId="0" fontId="0" fillId="0" borderId="3" pivotButton="0" quotePrefix="0" xfId="0"/>
    <xf numFmtId="0" fontId="4" fillId="6" borderId="0" pivotButton="0" quotePrefix="0" xfId="0"/>
    <xf numFmtId="0" fontId="3" fillId="3" borderId="1" pivotButton="0" quotePrefix="0" xfId="0"/>
    <xf numFmtId="0" fontId="12" fillId="10" borderId="0" pivotButton="0" quotePrefix="0" xfId="0"/>
    <xf numFmtId="0" fontId="11" fillId="11" borderId="1" applyAlignment="1" pivotButton="0" quotePrefix="0" xfId="0">
      <alignment vertical="top"/>
    </xf>
    <xf numFmtId="0" fontId="17" fillId="4" borderId="6" pivotButton="0" quotePrefix="0" xfId="0"/>
    <xf numFmtId="0" fontId="0" fillId="4" borderId="6" pivotButton="0" quotePrefix="0" xfId="0"/>
    <xf numFmtId="0" fontId="0" fillId="0" borderId="6" pivotButton="0" quotePrefix="0" xfId="0"/>
    <xf numFmtId="0" fontId="0" fillId="6" borderId="6" pivotButton="0" quotePrefix="0" xfId="0"/>
    <xf numFmtId="0" fontId="13" fillId="0" borderId="0" pivotButton="0" quotePrefix="0" xfId="0"/>
    <xf numFmtId="0" fontId="14" fillId="0" borderId="0" pivotButton="0" quotePrefix="0" xfId="0"/>
    <xf numFmtId="0" fontId="15" fillId="0" borderId="0" pivotButton="0" quotePrefix="0" xfId="0"/>
    <xf numFmtId="0" fontId="16" fillId="2" borderId="6" applyAlignment="1" pivotButton="0" quotePrefix="0" xfId="0">
      <alignment vertical="center"/>
    </xf>
    <xf numFmtId="0" fontId="18" fillId="0" borderId="6" pivotButton="0" quotePrefix="0" xfId="0"/>
    <xf numFmtId="0" fontId="17" fillId="9" borderId="6" pivotButton="0" quotePrefix="0" xfId="0"/>
    <xf numFmtId="0" fontId="19" fillId="0" borderId="0" pivotButton="0" quotePrefix="0" xfId="0"/>
    <xf numFmtId="0" fontId="18" fillId="0" borderId="0" pivotButton="0" quotePrefix="0" xfId="0"/>
    <xf numFmtId="0" fontId="18" fillId="5" borderId="6"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model</author>
  </authors>
  <commentList>
    <comment ref="K4" authorId="0" shapeId="0">
      <text>
        <t>Flags an entry that is outside a plausible range for this cell.
Added 2026-08-26 after readings taken in CENTIMETRES were entered
into millimetre columns. The workbook accepted them silently and its
derived-mass formula turned them into 0.300 GRAMS, three orders of
magnitude out. Nothing objected. This column objects.</t>
      </text>
    </comment>
    <comment ref="K8" authorId="0" shapeId="0">
      <text>
        <t>Plausible range for cylinder bore, mm: 5 to 60.
Outside that, the most likely cause is a unit slip.</t>
      </text>
    </comment>
    <comment ref="K9" authorId="0" shapeId="0">
      <text>
        <t>Plausible range for rod diameter, mm: 2 to 25.
Outside that, the most likely cause is a unit slip.</t>
      </text>
    </comment>
    <comment ref="F15" authorId="0" shapeId="0">
      <text>
        <t>Recorded as 10, which is 10 cm. This column is in MILLIMETRES, so it is
stored as 100 mm.
The original reading was not wrong - the unit was. Confirmed by the
conveyor, reported verbally as 760 mm and entered here as 76.</t>
      </text>
    </comment>
    <comment ref="K15" authorId="0" shapeId="0">
      <text>
        <t>Plausible range for block length, mm: 20 to 400.
Outside that, the most likely cause is a unit slip.</t>
      </text>
    </comment>
    <comment ref="F16" authorId="0" shapeId="0">
      <text>
        <t>Recorded as 10, which is 10 cm. This column is in MILLIMETRES, so it is
stored as 100 mm.
The original reading was not wrong - the unit was. Confirmed by the
conveyor, reported verbally as 760 mm and entered here as 76.</t>
      </text>
    </comment>
    <comment ref="K16" authorId="0" shapeId="0">
      <text>
        <t>Plausible range for block width, mm: 20 to 400.
Outside that, the most likely cause is a unit slip.</t>
      </text>
    </comment>
    <comment ref="F17" authorId="0" shapeId="0">
      <text>
        <t>Recorded as 4, which is 4 cm. This column is in MILLIMETRES,
so it is stored as 40 mm.
The reading was not wrong - the unit was. Confirmed by the conveyor,
reported verbally as 760 mm and entered here as 76.</t>
      </text>
    </comment>
    <comment ref="K17" authorId="0" shapeId="0">
      <text>
        <t>Plausible range for block thickness, mm: 10 to 200.
Outside that, the most likely cause is a unit slip.</t>
      </text>
    </comment>
    <comment ref="K18" authorId="0" shapeId="0">
      <text>
        <t>Plausible range for wood density, kg/m3: 300 to 1200.
Outside that, the most likely cause is a unit slip.</t>
      </text>
    </comment>
    <comment ref="F22" authorId="0" shapeId="0">
      <text>
        <t>You entered 125 = the rated maximum.
The model needs the actual trip distance against a
100 x 100 mm wooden block, which is smaller and unknown.</t>
      </text>
    </comment>
    <comment ref="K22" authorId="0" shapeId="0">
      <text>
        <t>Plausible range for sensing range, mm: 1 to 200.
Outside that, the most likely cause is a unit slip.</t>
      </text>
    </comment>
    <comment ref="F28" authorId="0" shapeId="0">
      <text>
        <t>Recorded as 76, which is 76 cm. This column is in MILLIMETRES, so it is
stored as 760 mm.
The original reading was not wrong - the unit was. Confirmed by the
conveyor, reported verbally as 760 mm and entered here as 76.</t>
      </text>
    </comment>
    <comment ref="K28" authorId="0" shapeId="0">
      <text>
        <t>Plausible range for conveyor length, mm: 300 to 2000.
Outside that, the most likely cause is a unit slip.</t>
      </text>
    </comment>
    <comment ref="F29" authorId="0" shapeId="0">
      <text>
        <t>Recorded as 76, which is 76 cm. This column is in MILLIMETRES, so it is
stored as 760 mm.
The original reading was not wrong - the unit was. Confirmed by the
conveyor, reported verbally as 760 mm and entered here as 76.</t>
      </text>
    </comment>
    <comment ref="K29" authorId="0" shapeId="0">
      <text>
        <t>Plausible range for conveyor length, mm: 300 to 2000.
Outside that, the most likely cause is a unit slip.</t>
      </text>
    </comment>
    <comment ref="F30" authorId="0" shapeId="0">
      <text>
        <t>Recorded as 76, which is 76 cm. This column is in MILLIMETRES, so it is
stored as 760 mm.
The original reading was not wrong - the unit was. Confirmed by the
conveyor, reported verbally as 760 mm and entered here as 76.</t>
      </text>
    </comment>
    <comment ref="K30" authorId="0" shapeId="0">
      <text>
        <t>Plausible range for conveyor length, mm: 300 to 2000.
Outside that, the most likely cause is a unit slip.</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1:B40"/>
  <sheetViews>
    <sheetView topLeftCell="A22" workbookViewId="0">
      <selection activeCell="A1" sqref="A1"/>
    </sheetView>
  </sheetViews>
  <sheetFormatPr baseColWidth="8" defaultRowHeight="14.4"/>
  <cols>
    <col width="3" customWidth="1" style="43" min="1" max="1"/>
    <col width="104" customWidth="1" style="43" min="2" max="2"/>
  </cols>
  <sheetData>
    <row r="1" ht="17.4" customHeight="1" s="43">
      <c r="B1" s="1" t="inlineStr">
        <is>
          <t>PHYSICS EQUATION FRAMEWORK - Factory Simulation Digital Twin</t>
        </is>
      </c>
    </row>
    <row r="2">
      <c r="B2" s="2" t="n"/>
    </row>
    <row r="3">
      <c r="B3" s="3" t="inlineStr">
        <is>
          <t>PURPOSE</t>
        </is>
      </c>
    </row>
    <row r="4">
      <c r="B4" s="2" t="inlineStr">
        <is>
          <t>Sequence.xlsx defines 42 steps but leaves its "Governing Physics Equation" column completely empty.</t>
        </is>
      </c>
    </row>
    <row r="5">
      <c r="B5" s="2" t="inlineStr">
        <is>
          <t>This workbook fills that column in, and lists exactly which input values are still needed.</t>
        </is>
      </c>
    </row>
    <row r="6">
      <c r="B6" s="2" t="n"/>
    </row>
    <row r="7">
      <c r="B7" s="4" t="inlineStr">
        <is>
          <t>THE MODEL IS NOT WAITING ON PHYSICS. IT IS WAITING ON NUMBERS.</t>
        </is>
      </c>
    </row>
    <row r="8">
      <c r="B8" s="2" t="inlineStr">
        <is>
          <t>All 20 governing relations are implemented, dimensionally audited and solver-converged.</t>
        </is>
      </c>
    </row>
    <row r="9">
      <c r="B9" s="2" t="inlineStr">
        <is>
          <t>Halving the solver step moves the result by 5.3e-12 m. The MATLAB and Python implementations</t>
        </is>
      </c>
    </row>
    <row r="10">
      <c r="B10" s="2" t="inlineStr">
        <is>
          <t>agree on all 39 state transitions to 0.000 ms. What is missing is measured input values.</t>
        </is>
      </c>
    </row>
    <row r="11">
      <c r="B11" s="2" t="n"/>
    </row>
    <row r="12">
      <c r="B12" s="3" t="inlineStr">
        <is>
          <t>HOW TO USE</t>
        </is>
      </c>
    </row>
    <row r="13">
      <c r="B13" s="2" t="inlineStr">
        <is>
          <t>1. Open the "Input Register" sheet.</t>
        </is>
      </c>
    </row>
    <row r="14">
      <c r="B14" s="2" t="inlineStr">
        <is>
          <t>2. Type your measured values into the YELLOW cells in the "YOUR VALUE" column.</t>
        </is>
      </c>
    </row>
    <row r="15">
      <c r="B15" s="2" t="inlineStr">
        <is>
          <t>3. Derived quantities (piston areas, forces, block mass) recalculate automatically.</t>
        </is>
      </c>
    </row>
    <row r="16">
      <c r="B16" s="2" t="inlineStr">
        <is>
          <t>4. Transfer the values into FactoryParams.m, re-run both test suites, then re-baseline.</t>
        </is>
      </c>
    </row>
    <row r="17">
      <c r="B17" s="2" t="n"/>
    </row>
    <row r="18">
      <c r="B18" s="3" t="inlineStr">
        <is>
          <t>SHEETS</t>
        </is>
      </c>
    </row>
    <row r="19">
      <c r="B19" s="63" t="inlineStr">
        <is>
          <t>Input Register      - the fill-in sheet, ranked by measured sensitivity</t>
        </is>
      </c>
    </row>
    <row r="20">
      <c r="B20" s="63" t="inlineStr">
        <is>
          <t>PLC IO Map          - every coil and input address, from the machine's own program</t>
        </is>
      </c>
    </row>
    <row r="21">
      <c r="B21" s="63" t="inlineStr">
        <is>
          <t>Sequence Equations  - all 42 Sequence.xlsx steps mapped to their governing equations</t>
        </is>
      </c>
    </row>
    <row r="22">
      <c r="B22" s="63" t="inlineStr">
        <is>
          <t>Equation Set        - the 20 governing relations with symbols and units</t>
        </is>
      </c>
    </row>
    <row r="23">
      <c r="B23" s="63" t="inlineStr">
        <is>
          <t>PLC Access          - what is needed to open an OPC UA link to the real PLC</t>
        </is>
      </c>
    </row>
    <row r="24">
      <c r="B24" s="2" t="inlineStr">
        <is>
          <t>(Steps added beyond Sequence.xlsx are shaded amber inside "Sequence Equations".)</t>
        </is>
      </c>
    </row>
    <row r="25">
      <c r="B25" s="2" t="n"/>
    </row>
    <row r="26">
      <c r="B26" s="3" t="inlineStr">
        <is>
          <t>COLOUR CONVENTION</t>
        </is>
      </c>
    </row>
    <row r="27">
      <c r="B27" s="2" t="inlineStr">
        <is>
          <t>YELLOW fill, blue text  = you fill this in</t>
        </is>
      </c>
    </row>
    <row r="28">
      <c r="B28" s="2" t="inlineStr">
        <is>
          <t>Black text              = calculated by formula, do not overwrite</t>
        </is>
      </c>
    </row>
    <row r="29">
      <c r="B29" s="4" t="inlineStr">
        <is>
          <t>RED text                = blocking issue, or a value known to be wrong</t>
        </is>
      </c>
    </row>
    <row r="30">
      <c r="B30" s="2" t="n"/>
    </row>
    <row r="31">
      <c r="B31" s="3" t="inlineStr">
        <is>
          <t>PROVENANCE TAGS</t>
        </is>
      </c>
    </row>
    <row r="32">
      <c r="B32" s="63" t="inlineStr">
        <is>
          <t>JAN = Janatics catalogue figure     CAL = calculated from other entries</t>
        </is>
      </c>
    </row>
    <row r="33">
      <c r="B33" s="63" t="inlineStr">
        <is>
          <t>ASM = engineering assumption        EST = estimate</t>
        </is>
      </c>
    </row>
    <row r="34">
      <c r="B34" s="63" t="inlineStr">
        <is>
          <t>PLH = placeholder, known wrong      COMM = commissioning setting</t>
        </is>
      </c>
    </row>
    <row r="35">
      <c r="B35" s="63" t="inlineStr">
        <is>
          <t>PLC = observed on the real PLC      MEAS = measured by hand on the machine</t>
        </is>
      </c>
    </row>
    <row r="36">
      <c r="B36" s="63" t="inlineStr">
        <is>
          <t>CAD = read from the vendor solid model</t>
        </is>
      </c>
    </row>
    <row r="37">
      <c r="B37" s="2" t="n"/>
    </row>
    <row r="38">
      <c r="B38" s="3" t="inlineStr">
        <is>
          <t>SOURCE</t>
        </is>
      </c>
    </row>
    <row r="39">
      <c r="B39" s="2" t="inlineStr">
        <is>
          <t>Generated from PHYSICS_FRAMEWORK.md, which carries the full derivations and standard citations.</t>
        </is>
      </c>
    </row>
    <row r="40">
      <c r="B40" s="2" t="inlineStr">
        <is>
          <t>Sensitivity figures come from perturbing each parameter +20% and re-running the full cycle.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1"/>
  <sheetViews>
    <sheetView tabSelected="1" workbookViewId="0">
      <pane ySplit="4" topLeftCell="A10" activePane="bottomLeft" state="frozen"/>
      <selection pane="bottomLeft" activeCell="F18" sqref="F18"/>
    </sheetView>
  </sheetViews>
  <sheetFormatPr baseColWidth="8" defaultRowHeight="14.4"/>
  <cols>
    <col width="5" customWidth="1" style="43" min="1" max="1"/>
    <col width="32" customWidth="1" style="43" min="2" max="2"/>
    <col width="12" customWidth="1" style="43" min="3" max="3"/>
    <col width="9" customWidth="1" style="43" min="4" max="4"/>
    <col width="13" customWidth="1" style="43" min="5" max="6"/>
    <col width="7" customWidth="1" style="43" min="7" max="7"/>
    <col width="10" customWidth="1" style="43" min="8" max="9"/>
    <col width="44" customWidth="1" style="43" min="10" max="10"/>
    <col width="30" customWidth="1" style="43" min="11" max="11"/>
  </cols>
  <sheetData>
    <row r="1" ht="16.8" customHeight="1" s="43">
      <c r="A1" s="5" t="inlineStr">
        <is>
          <t>INPUT REGISTER - type your measured values into the yellow column</t>
        </is>
      </c>
    </row>
    <row r="2">
      <c r="A2" s="6" t="inlineStr">
        <is>
          <t>Ranked by MEASURED sensitivity: each parameter perturbed +20% and the full cycle re-run. Tier 3 will not change your answer.</t>
        </is>
      </c>
    </row>
    <row r="4" ht="27.6" customHeight="1" s="43">
      <c r="A4" s="7" t="inlineStr">
        <is>
          <t>#</t>
        </is>
      </c>
      <c r="B4" s="7" t="inlineStr">
        <is>
          <t>Parameter</t>
        </is>
      </c>
      <c r="C4" s="7" t="inlineStr">
        <is>
          <t>Symbol</t>
        </is>
      </c>
      <c r="D4" s="7" t="inlineStr">
        <is>
          <t>Unit</t>
        </is>
      </c>
      <c r="E4" s="7" t="inlineStr">
        <is>
          <t>Current</t>
        </is>
      </c>
      <c r="F4" s="7" t="inlineStr">
        <is>
          <t>YOUR VALUE</t>
        </is>
      </c>
      <c r="G4" s="7" t="inlineStr">
        <is>
          <t>Tag</t>
        </is>
      </c>
      <c r="H4" s="7" t="inlineStr">
        <is>
          <t>d cycle (s)</t>
        </is>
      </c>
      <c r="I4" s="7" t="inlineStr">
        <is>
          <t>d pos (mm)</t>
        </is>
      </c>
      <c r="J4" s="7" t="inlineStr">
        <is>
          <t>Where to get it</t>
        </is>
      </c>
      <c r="K4" s="50" t="inlineStr">
        <is>
          <t>CHECK</t>
        </is>
      </c>
    </row>
    <row r="5">
      <c r="A5" s="49" t="inlineStr">
        <is>
          <t>TIER 0 - BLOCKING</t>
        </is>
      </c>
      <c r="B5" s="9" t="inlineStr">
        <is>
          <t>TIER 0 - CLOSED</t>
        </is>
      </c>
      <c r="C5" s="9" t="n"/>
      <c r="D5" s="9" t="n"/>
      <c r="E5" s="9" t="n"/>
      <c r="F5" s="9" t="n"/>
      <c r="G5" s="9" t="n"/>
      <c r="H5" s="9" t="n"/>
      <c r="I5" s="9" t="n"/>
      <c r="J5" s="9" t="n"/>
    </row>
    <row r="6" ht="26.4" customHeight="1" s="43">
      <c r="A6" s="10" t="n">
        <v>0</v>
      </c>
      <c r="B6" s="11" t="inlineStr">
        <is>
          <t>Cell scale</t>
        </is>
      </c>
      <c r="C6" s="10" t="inlineStr">
        <is>
          <t>SCALE</t>
        </is>
      </c>
      <c r="D6" s="10" t="inlineStr">
        <is>
          <t>m/unit</t>
        </is>
      </c>
      <c r="E6" s="10" t="n">
        <v>0.1</v>
      </c>
      <c r="F6" s="40" t="n">
        <v>0.1</v>
      </c>
      <c r="G6" s="10" t="inlineStr">
        <is>
          <t>MEAS</t>
        </is>
      </c>
      <c r="H6" s="10" t="n"/>
      <c r="I6" s="10" t="n"/>
      <c r="J6" s="12" t="inlineStr">
        <is>
          <t>CONFIRMED CORRECT 2026-08-26, four ways: tape 760 mm, conveyor.stp 775, Conveyor1.STEP 780, Conveyor2.STEP 750. All give SCALE = 0.10 within 2.6%. This row is CLOSED - the earlier "confirmed incorrect" was wrong.</t>
        </is>
      </c>
    </row>
    <row r="7">
      <c r="A7" s="45" t="inlineStr">
        <is>
          <t>TIER 1 - MEASURE THESE FIRST</t>
        </is>
      </c>
      <c r="B7" s="14" t="n"/>
      <c r="C7" s="14" t="n"/>
      <c r="D7" s="14" t="n"/>
      <c r="E7" s="14" t="n"/>
      <c r="F7" s="14" t="n"/>
      <c r="G7" s="14" t="n"/>
      <c r="H7" s="14" t="n"/>
      <c r="I7" s="14" t="n"/>
      <c r="J7" s="14" t="n"/>
    </row>
    <row r="8" ht="79.2" customHeight="1" s="43">
      <c r="A8" s="10" t="n">
        <v>1</v>
      </c>
      <c r="B8" s="10" t="inlineStr">
        <is>
          <t>Cylinder bore (all 5)</t>
        </is>
      </c>
      <c r="C8" s="10" t="inlineStr">
        <is>
          <t>D_bore</t>
        </is>
      </c>
      <c r="D8" s="10" t="inlineStr">
        <is>
          <t>mm</t>
        </is>
      </c>
      <c r="E8" s="10" t="n">
        <v>20</v>
      </c>
      <c r="F8" s="41" t="n"/>
      <c r="G8" s="10" t="inlineStr">
        <is>
          <t>ASM</t>
        </is>
      </c>
      <c r="H8" s="10" t="n">
        <v>3.26</v>
      </c>
      <c r="I8" s="10" t="n">
        <v>0.38</v>
      </c>
      <c r="J8" s="15" t="inlineStr">
        <is>
          <t>CAD says the cell runs TWO bores: 32 mm (Janatics A27/A28, barrel 1202510000) and 8 mm (A51/A52, barrel 1501160000). The 20 here matches NEITHER. Read the label on each of the six barrels and say which is which - force goes as bore^2, so the two differ by 16x.</t>
        </is>
      </c>
      <c r="K8">
        <f>IF(F8="","",IF(AND(F8&gt;=5,F8&lt;=60),"ok","CHECK UNITS - expected 5 to 60"))</f>
        <v/>
      </c>
    </row>
    <row r="9" ht="26.4" customHeight="1" s="43">
      <c r="A9" s="10" t="n">
        <v>2</v>
      </c>
      <c r="B9" s="10" t="inlineStr">
        <is>
          <t>Rod diameter (all 5)</t>
        </is>
      </c>
      <c r="C9" s="10" t="inlineStr">
        <is>
          <t>d_rod</t>
        </is>
      </c>
      <c r="D9" s="10" t="inlineStr">
        <is>
          <t>mm</t>
        </is>
      </c>
      <c r="E9" s="10" t="n">
        <v>8</v>
      </c>
      <c r="F9" s="41" t="n"/>
      <c r="G9" s="10" t="inlineStr">
        <is>
          <t>ASM</t>
        </is>
      </c>
      <c r="H9" s="10" t="n">
        <v>-0.71</v>
      </c>
      <c r="I9" s="10" t="n">
        <v>1.03</v>
      </c>
      <c r="J9" s="15" t="inlineStr">
        <is>
          <t>Rod pairs with the bore: 12 mm with bore 32, 4 mm with bore 8. Same six labels.</t>
        </is>
      </c>
      <c r="K9">
        <f>IF(F9="","",IF(AND(F9&gt;=2,F9&lt;=25),"ok","CHECK UNITS - expected 2 to 25"))</f>
        <v/>
      </c>
    </row>
    <row r="10">
      <c r="A10" s="10" t="n">
        <v>3</v>
      </c>
      <c r="B10" s="10" t="inlineStr">
        <is>
          <t>Engraving duration</t>
        </is>
      </c>
      <c r="C10" s="10" t="inlineStr">
        <is>
          <t>t_engrave</t>
        </is>
      </c>
      <c r="D10" s="10" t="inlineStr">
        <is>
          <t>s</t>
        </is>
      </c>
      <c r="E10" s="10" t="n">
        <v>8</v>
      </c>
      <c r="F10" s="38" t="n"/>
      <c r="G10" s="11" t="inlineStr">
        <is>
          <t>PLH</t>
        </is>
      </c>
      <c r="H10" s="10" t="n">
        <v>1.6</v>
      </c>
      <c r="I10" s="10" t="n">
        <v>0</v>
      </c>
      <c r="J10" s="15" t="inlineStr">
        <is>
          <t>Stopwatch over 5-10 real cycles</t>
        </is>
      </c>
    </row>
    <row r="11">
      <c r="A11" s="10" t="n">
        <v>4</v>
      </c>
      <c r="B11" s="10" t="inlineStr">
        <is>
          <t>Operator notice delay</t>
        </is>
      </c>
      <c r="C11" s="10" t="inlineStr">
        <is>
          <t>t_op_notice</t>
        </is>
      </c>
      <c r="D11" s="10" t="inlineStr">
        <is>
          <t>s</t>
        </is>
      </c>
      <c r="E11" s="10" t="n">
        <v>3</v>
      </c>
      <c r="F11" s="38" t="n"/>
      <c r="G11" s="11" t="inlineStr">
        <is>
          <t>PLH</t>
        </is>
      </c>
      <c r="H11" s="10" t="n">
        <v>0.6</v>
      </c>
      <c r="I11" s="10" t="n">
        <v>0</v>
      </c>
      <c r="J11" s="15" t="inlineStr">
        <is>
          <t>Stopwatch</t>
        </is>
      </c>
    </row>
    <row r="12">
      <c r="A12" s="10" t="n">
        <v>5</v>
      </c>
      <c r="B12" s="10" t="inlineStr">
        <is>
          <t>Operator confirm delay</t>
        </is>
      </c>
      <c r="C12" s="10" t="inlineStr">
        <is>
          <t>t_op_confirm</t>
        </is>
      </c>
      <c r="D12" s="10" t="inlineStr">
        <is>
          <t>s</t>
        </is>
      </c>
      <c r="E12" s="10" t="n">
        <v>1.5</v>
      </c>
      <c r="F12" s="38" t="n"/>
      <c r="G12" s="11" t="inlineStr">
        <is>
          <t>PLH</t>
        </is>
      </c>
      <c r="H12" s="10" t="n">
        <v>0.3</v>
      </c>
      <c r="I12" s="10" t="n">
        <v>0</v>
      </c>
      <c r="J12" s="15" t="inlineStr">
        <is>
          <t>Stopwatch</t>
        </is>
      </c>
    </row>
    <row r="13">
      <c r="A13" s="10" t="n">
        <v>6</v>
      </c>
      <c r="B13" s="10" t="inlineStr">
        <is>
          <t>Receiver start pressure</t>
        </is>
      </c>
      <c r="C13" s="10" t="inlineStr">
        <is>
          <t>P_res_0</t>
        </is>
      </c>
      <c r="D13" s="10" t="inlineStr">
        <is>
          <t>bar</t>
        </is>
      </c>
      <c r="E13" s="10" t="n">
        <v>5.5</v>
      </c>
      <c r="F13" s="38" t="n">
        <v>4.3</v>
      </c>
      <c r="G13" s="10" t="inlineStr">
        <is>
          <t>ASM</t>
        </is>
      </c>
      <c r="H13" s="10" t="n">
        <v>-1.98</v>
      </c>
      <c r="I13" s="10" t="n">
        <v>0</v>
      </c>
      <c r="J13" s="15" t="inlineStr">
        <is>
          <t>Gauge reading before a cycle begins</t>
        </is>
      </c>
    </row>
    <row r="14">
      <c r="A14" s="10" t="n">
        <v>7</v>
      </c>
      <c r="B14" s="10" t="inlineStr">
        <is>
          <t>Belt speed setpoint</t>
        </is>
      </c>
      <c r="C14" s="10" t="inlineStr">
        <is>
          <t>v_belt_sp</t>
        </is>
      </c>
      <c r="D14" s="10" t="inlineStr">
        <is>
          <t>m/s</t>
        </is>
      </c>
      <c r="E14" s="10" t="n">
        <v>0.15</v>
      </c>
      <c r="F14" s="38" t="n"/>
      <c r="G14" s="10" t="inlineStr">
        <is>
          <t>ASM</t>
        </is>
      </c>
      <c r="H14" s="10" t="n">
        <v>-1.23</v>
      </c>
      <c r="I14" s="10" t="n">
        <v>0.38</v>
      </c>
      <c r="J14" s="15" t="inlineStr">
        <is>
          <t>Tachometer, or time a marked block</t>
        </is>
      </c>
    </row>
    <row r="15" ht="52.8" customHeight="1" s="43">
      <c r="A15" s="10" t="n">
        <v>8</v>
      </c>
      <c r="B15" s="10" t="inlineStr">
        <is>
          <t>Workpiece length</t>
        </is>
      </c>
      <c r="C15" s="10" t="inlineStr">
        <is>
          <t>blk_L</t>
        </is>
      </c>
      <c r="D15" s="10" t="inlineStr">
        <is>
          <t>mm</t>
        </is>
      </c>
      <c r="E15" s="10" t="n">
        <v>100</v>
      </c>
      <c r="F15" s="51" t="n">
        <v>100</v>
      </c>
      <c r="G15" s="10" t="inlineStr">
        <is>
          <t>ASM</t>
        </is>
      </c>
      <c r="H15" s="10" t="n"/>
      <c r="I15" s="10" t="n"/>
      <c r="J15" s="15" t="inlineStr">
        <is>
          <t>SETTLED. Box_50MM.STEP measures 100.00 x 100.00 x 50.00 mm exactly.  |  Calipers - it is a WOODEN CUBOID, not a cube  |  ENTERED AS 10 (cm); stored as 100 mm.</t>
        </is>
      </c>
      <c r="K15">
        <f>IF(F15="","",IF(AND(F15&gt;=20,F15&lt;=400),"ok","CHECK UNITS - expected 20 to 400"))</f>
        <v/>
      </c>
    </row>
    <row r="16" ht="26.4" customHeight="1" s="43">
      <c r="A16" s="10" t="n">
        <v>9</v>
      </c>
      <c r="B16" s="10" t="inlineStr">
        <is>
          <t>Workpiece width</t>
        </is>
      </c>
      <c r="C16" s="10" t="inlineStr">
        <is>
          <t>blk_W</t>
        </is>
      </c>
      <c r="D16" s="10" t="inlineStr">
        <is>
          <t>mm</t>
        </is>
      </c>
      <c r="E16" s="10" t="n">
        <v>100</v>
      </c>
      <c r="F16" s="51" t="n">
        <v>100</v>
      </c>
      <c r="G16" s="10" t="inlineStr">
        <is>
          <t>ASM</t>
        </is>
      </c>
      <c r="H16" s="10" t="n"/>
      <c r="I16" s="10" t="n"/>
      <c r="J16" s="15" t="inlineStr">
        <is>
          <t>SETTLED - see row 15.  |  Calipers  |  ENTERED AS 10 (cm); stored as 100 mm.</t>
        </is>
      </c>
      <c r="K16">
        <f>IF(F16="","",IF(AND(F16&gt;=20,F16&lt;=400),"ok","CHECK UNITS - expected 20 to 400"))</f>
        <v/>
      </c>
    </row>
    <row r="17" ht="52.8" customHeight="1" s="43">
      <c r="A17" s="10" t="n">
        <v>10</v>
      </c>
      <c r="B17" s="10" t="inlineStr">
        <is>
          <t>Workpiece height</t>
        </is>
      </c>
      <c r="C17" s="10" t="inlineStr">
        <is>
          <t>blk_H</t>
        </is>
      </c>
      <c r="D17" s="10" t="inlineStr">
        <is>
          <t>mm</t>
        </is>
      </c>
      <c r="E17" s="10" t="n">
        <v>40</v>
      </c>
      <c r="F17" s="51" t="n">
        <v>40</v>
      </c>
      <c r="G17" s="10" t="inlineStr">
        <is>
          <t>ASM</t>
        </is>
      </c>
      <c r="H17" s="10" t="n"/>
      <c r="I17" s="10" t="n"/>
      <c r="J17" s="15" t="inlineStr">
        <is>
          <t>SETTLED at 40 mm - MEASURED IN THE LAB, and it takes precedence over the CAD, whose Box_50MM block is 50 mm. The cell runs several thicknesses.  |  ENTERED AS 4 (cm); stored as 40 mm.</t>
        </is>
      </c>
      <c r="K17">
        <f>IF(F17="","",IF(AND(F17&gt;=10,F17&lt;=200),"ok","CHECK UNITS - expected 10 to 200"))</f>
        <v/>
      </c>
    </row>
    <row r="18" ht="66" customHeight="1" s="43">
      <c r="A18" s="10" t="n">
        <v>11</v>
      </c>
      <c r="B18" s="10" t="inlineStr">
        <is>
          <t>Workpiece density</t>
        </is>
      </c>
      <c r="C18" s="10" t="inlineStr">
        <is>
          <t>blk_rho</t>
        </is>
      </c>
      <c r="D18" s="10" t="inlineStr">
        <is>
          <t>kg/m3</t>
        </is>
      </c>
      <c r="E18" s="10" t="n">
        <v>750</v>
      </c>
      <c r="F18" s="51" t="n">
        <v>750</v>
      </c>
      <c r="G18" s="10" t="inlineStr">
        <is>
          <t>ASM</t>
        </is>
      </c>
      <c r="H18" s="10" t="n">
        <v>0.1</v>
      </c>
      <c r="I18" s="10" t="n">
        <v>0.03</v>
      </c>
      <c r="J18" s="15" t="inlineStr">
        <is>
          <t>CONFIRMED 2026-08-26 BY WEIGHING. A block came in at 0.300 kg, and 0.300 / (0.100 x 0.100 x 0.040) = 750 kg/m3 exactly. This row is CLOSED - the workpiece is now fully measured.</t>
        </is>
      </c>
      <c r="K18">
        <f>IF(F18="","",IF(AND(F18&gt;=300,F18&lt;=1200),"ok","CHECK UNITS - expected 300 to 1200"))</f>
        <v/>
      </c>
    </row>
    <row r="19">
      <c r="A19" s="45" t="inlineStr">
        <is>
          <t>TIER 2 - WORTH HAVING ONCE TIER 1 IS DONE</t>
        </is>
      </c>
      <c r="B19" s="14" t="n"/>
      <c r="C19" s="14" t="n"/>
      <c r="D19" s="14" t="n"/>
      <c r="E19" s="14" t="n"/>
      <c r="F19" s="14" t="n"/>
      <c r="G19" s="14" t="n"/>
      <c r="H19" s="14" t="n"/>
      <c r="I19" s="14" t="n"/>
      <c r="J19" s="14" t="n"/>
    </row>
    <row r="20">
      <c r="A20" s="10" t="n">
        <v>12</v>
      </c>
      <c r="B20" s="10" t="inlineStr">
        <is>
          <t>Receiver volume</t>
        </is>
      </c>
      <c r="C20" s="10" t="inlineStr">
        <is>
          <t>V_res</t>
        </is>
      </c>
      <c r="D20" s="10" t="inlineStr">
        <is>
          <t>L</t>
        </is>
      </c>
      <c r="E20" s="10" t="n">
        <v>5</v>
      </c>
      <c r="F20" s="38" t="n"/>
      <c r="G20" s="10" t="inlineStr">
        <is>
          <t>ASM</t>
        </is>
      </c>
      <c r="H20" s="10" t="n"/>
      <c r="I20" s="10" t="n"/>
      <c r="J20" s="15" t="inlineStr">
        <is>
          <t>Nameplate</t>
        </is>
      </c>
    </row>
    <row r="21">
      <c r="A21" s="10" t="n">
        <v>13</v>
      </c>
      <c r="B21" s="10" t="inlineStr">
        <is>
          <t>Compressor delivery</t>
        </is>
      </c>
      <c r="C21" s="10" t="inlineStr">
        <is>
          <t>mdot_pump</t>
        </is>
      </c>
      <c r="D21" s="10" t="inlineStr">
        <is>
          <t>kg/s</t>
        </is>
      </c>
      <c r="E21" s="10" t="n">
        <v>0.003</v>
      </c>
      <c r="F21" s="38" t="n"/>
      <c r="G21" s="10" t="inlineStr">
        <is>
          <t>ASM</t>
        </is>
      </c>
      <c r="H21" s="10" t="n"/>
      <c r="I21" s="10" t="n"/>
      <c r="J21" s="15" t="inlineStr">
        <is>
          <t>Nameplate</t>
        </is>
      </c>
    </row>
    <row r="22" ht="92.40000000000001" customHeight="1" s="43">
      <c r="A22" s="10" t="n">
        <v>14</v>
      </c>
      <c r="B22" s="10" t="inlineStr">
        <is>
          <t>Proximity sensing range</t>
        </is>
      </c>
      <c r="C22" s="10" t="inlineStr">
        <is>
          <t>r_prox</t>
        </is>
      </c>
      <c r="D22" s="10" t="inlineStr">
        <is>
          <t>mm</t>
        </is>
      </c>
      <c r="E22" s="10" t="n">
        <v>30</v>
      </c>
      <c r="F22" s="38" t="n">
        <v>125</v>
      </c>
      <c r="G22" s="10" t="inlineStr">
        <is>
          <t>ASM</t>
        </is>
      </c>
      <c r="H22" s="10" t="n"/>
      <c r="I22" s="10" t="n"/>
      <c r="J22" s="15" t="inlineStr">
        <is>
          <t>125 is the sensor RATED MAXIMUM, not what the model needs. The model needs the distance at which a real 100x100 mm WOODEN block trips it. Type is confirmed CAPACITIVE (2026-08-26). Note 125 mm does not sit comfortably with the M18 barrel in the CAD - capacitive M18 typically ranges a few mm to about 20.</t>
        </is>
      </c>
      <c r="K22">
        <f>IF(F22="","",IF(AND(F22&gt;=1,F22&lt;=200),"ok","CHECK UNITS - expected 1 to 200"))</f>
        <v/>
      </c>
    </row>
    <row r="23">
      <c r="A23" s="10" t="n">
        <v>15</v>
      </c>
      <c r="B23" s="10" t="inlineStr">
        <is>
          <t>Belt acceleration ramp</t>
        </is>
      </c>
      <c r="C23" s="10" t="inlineStr">
        <is>
          <t>a_belt</t>
        </is>
      </c>
      <c r="D23" s="10" t="inlineStr">
        <is>
          <t>m/s2</t>
        </is>
      </c>
      <c r="E23" s="10" t="n">
        <v>0.4</v>
      </c>
      <c r="F23" s="38" t="n"/>
      <c r="G23" s="10" t="inlineStr">
        <is>
          <t>ASM</t>
        </is>
      </c>
      <c r="H23" s="10" t="n"/>
      <c r="I23" s="10" t="n"/>
      <c r="J23" s="15" t="inlineStr">
        <is>
          <t>Drive / VFD configuration</t>
        </is>
      </c>
    </row>
    <row r="24">
      <c r="A24" s="10" t="n">
        <v>16</v>
      </c>
      <c r="B24" s="10" t="inlineStr">
        <is>
          <t>Kinetic friction</t>
        </is>
      </c>
      <c r="C24" s="10" t="inlineStr">
        <is>
          <t>mu_k</t>
        </is>
      </c>
      <c r="D24" s="10" t="inlineStr">
        <is>
          <t>-</t>
        </is>
      </c>
      <c r="E24" s="10" t="n">
        <v>0.35</v>
      </c>
      <c r="F24" s="38" t="n"/>
      <c r="G24" s="10" t="inlineStr">
        <is>
          <t>EST</t>
        </is>
      </c>
      <c r="H24" s="10" t="n"/>
      <c r="I24" s="10" t="n"/>
      <c r="J24" s="15" t="inlineStr">
        <is>
          <t>Constant-velocity pull test</t>
        </is>
      </c>
    </row>
    <row r="25">
      <c r="A25" s="10" t="n">
        <v>17</v>
      </c>
      <c r="B25" s="10" t="inlineStr">
        <is>
          <t>Static friction</t>
        </is>
      </c>
      <c r="C25" s="10" t="inlineStr">
        <is>
          <t>mu_s</t>
        </is>
      </c>
      <c r="D25" s="10" t="inlineStr">
        <is>
          <t>-</t>
        </is>
      </c>
      <c r="E25" s="10" t="n">
        <v>0.4</v>
      </c>
      <c r="F25" s="38" t="n"/>
      <c r="G25" s="10" t="inlineStr">
        <is>
          <t>EST</t>
        </is>
      </c>
      <c r="H25" s="10" t="n"/>
      <c r="I25" s="10" t="n"/>
      <c r="J25" s="15" t="inlineStr">
        <is>
          <t>Tilt test: angle at which sliding begins</t>
        </is>
      </c>
    </row>
    <row r="26">
      <c r="A26" s="10" t="n">
        <v>18</v>
      </c>
      <c r="B26" s="10" t="inlineStr">
        <is>
          <t>PLC scan period</t>
        </is>
      </c>
      <c r="C26" s="10" t="inlineStr">
        <is>
          <t>t_scan</t>
        </is>
      </c>
      <c r="D26" s="10" t="inlineStr">
        <is>
          <t>ms</t>
        </is>
      </c>
      <c r="E26" s="10" t="n">
        <v>10</v>
      </c>
      <c r="F26" s="38" t="n"/>
      <c r="G26" s="10" t="inlineStr">
        <is>
          <t>ASM</t>
        </is>
      </c>
      <c r="H26" s="10" t="n"/>
      <c r="I26" s="10" t="n"/>
      <c r="J26" s="15" t="inlineStr">
        <is>
          <t>Controller configuration</t>
        </is>
      </c>
    </row>
    <row r="27">
      <c r="A27" s="10" t="n">
        <v>19</v>
      </c>
      <c r="B27" s="10" t="inlineStr">
        <is>
          <t>Regulator set pressure</t>
        </is>
      </c>
      <c r="C27" s="10" t="inlineStr">
        <is>
          <t>P_set</t>
        </is>
      </c>
      <c r="D27" s="10" t="inlineStr">
        <is>
          <t>bar g</t>
        </is>
      </c>
      <c r="E27" s="10" t="n">
        <v>6</v>
      </c>
      <c r="F27" s="38" t="n"/>
      <c r="G27" s="10" t="inlineStr">
        <is>
          <t>JAN</t>
        </is>
      </c>
      <c r="H27" s="10" t="n"/>
      <c r="I27" s="10" t="n"/>
      <c r="J27" s="15" t="inlineStr">
        <is>
          <t>FRL gauge</t>
        </is>
      </c>
    </row>
    <row r="28" ht="26.4" customHeight="1" s="43">
      <c r="A28" s="10" t="n">
        <v>20</v>
      </c>
      <c r="B28" s="10" t="inlineStr">
        <is>
          <t>Conveyor 1 length</t>
        </is>
      </c>
      <c r="C28" s="10" t="inlineStr">
        <is>
          <t>-</t>
        </is>
      </c>
      <c r="D28" s="10" t="inlineStr">
        <is>
          <t>mm</t>
        </is>
      </c>
      <c r="E28" s="10" t="n"/>
      <c r="F28" s="38" t="n">
        <v>760</v>
      </c>
      <c r="G28" s="10" t="inlineStr">
        <is>
          <t>ASM</t>
        </is>
      </c>
      <c r="H28" s="10" t="n"/>
      <c r="I28" s="10" t="n"/>
      <c r="J28" s="15" t="inlineStr">
        <is>
          <t>Tape measure - this also settles SCALE  |  ENTERED AS 76 (cm); stored as 760 mm.</t>
        </is>
      </c>
      <c r="K28">
        <f>IF(F28="","",IF(AND(F28&gt;=300,F28&lt;=2000),"ok","CHECK UNITS - expected 300 to 2000"))</f>
        <v/>
      </c>
    </row>
    <row r="29" ht="26.4" customHeight="1" s="43">
      <c r="A29" s="10" t="n">
        <v>21</v>
      </c>
      <c r="B29" s="10" t="inlineStr">
        <is>
          <t>Conveyor 2 length</t>
        </is>
      </c>
      <c r="C29" s="10" t="inlineStr">
        <is>
          <t>-</t>
        </is>
      </c>
      <c r="D29" s="10" t="inlineStr">
        <is>
          <t>mm</t>
        </is>
      </c>
      <c r="E29" s="10" t="n"/>
      <c r="F29" s="38" t="n">
        <v>760</v>
      </c>
      <c r="G29" s="10" t="inlineStr">
        <is>
          <t>ASM</t>
        </is>
      </c>
      <c r="H29" s="10" t="n"/>
      <c r="I29" s="10" t="n"/>
      <c r="J29" s="15" t="inlineStr">
        <is>
          <t>Tape measure  |  ENTERED AS 76 (cm); stored as 760 mm.</t>
        </is>
      </c>
      <c r="K29">
        <f>IF(F29="","",IF(AND(F29&gt;=300,F29&lt;=2000),"ok","CHECK UNITS - expected 300 to 2000"))</f>
        <v/>
      </c>
    </row>
    <row r="30" ht="26.4" customHeight="1" s="43">
      <c r="A30" s="10" t="n">
        <v>22</v>
      </c>
      <c r="B30" s="10" t="inlineStr">
        <is>
          <t>Conveyor 3 length</t>
        </is>
      </c>
      <c r="C30" s="10" t="inlineStr">
        <is>
          <t>-</t>
        </is>
      </c>
      <c r="D30" s="10" t="inlineStr">
        <is>
          <t>mm</t>
        </is>
      </c>
      <c r="E30" s="10" t="n"/>
      <c r="F30" s="38" t="n">
        <v>760</v>
      </c>
      <c r="G30" s="10" t="inlineStr">
        <is>
          <t>ASM</t>
        </is>
      </c>
      <c r="H30" s="10" t="n"/>
      <c r="I30" s="10" t="n"/>
      <c r="J30" s="15" t="inlineStr">
        <is>
          <t>Tape measure  |  ENTERED AS 76 (cm); stored as 760 mm.</t>
        </is>
      </c>
      <c r="K30">
        <f>IF(F30="","",IF(AND(F30&gt;=300,F30&lt;=2000),"ok","CHECK UNITS - expected 300 to 2000"))</f>
        <v/>
      </c>
    </row>
    <row r="31">
      <c r="A31" s="10" t="n">
        <v>23</v>
      </c>
      <c r="B31" s="10" t="inlineStr">
        <is>
          <t>Reed switch position, per cylinder</t>
        </is>
      </c>
      <c r="C31" s="10" t="inlineStr">
        <is>
          <t>x_trip</t>
        </is>
      </c>
      <c r="D31" s="10" t="inlineStr">
        <is>
          <t>mm</t>
        </is>
      </c>
      <c r="E31" s="10" t="n"/>
      <c r="F31" s="38" t="n"/>
      <c r="G31" s="10" t="inlineStr">
        <is>
          <t>ASM</t>
        </is>
      </c>
      <c r="H31" s="10" t="n"/>
      <c r="I31" s="10" t="n"/>
      <c r="J31" s="15" t="inlineStr">
        <is>
          <t>Measure from the cap face</t>
        </is>
      </c>
    </row>
    <row r="32">
      <c r="A32" s="52" t="inlineStr">
        <is>
          <t>FROM THE PLC PROGRAM, 2026-08-30 - answer at the machine</t>
        </is>
      </c>
      <c r="B32" s="53" t="n"/>
      <c r="C32" s="53" t="n"/>
      <c r="D32" s="53" t="n"/>
      <c r="E32" s="53" t="n"/>
      <c r="F32" s="53" t="n"/>
      <c r="G32" s="53" t="n"/>
      <c r="H32" s="53" t="n"/>
      <c r="I32" s="53" t="n"/>
      <c r="J32" s="53" t="n"/>
      <c r="K32" s="53" t="n"/>
    </row>
    <row r="33" ht="79.2" customHeight="1" s="43">
      <c r="A33" s="54" t="inlineStr">
        <is>
          <t>3b</t>
        </is>
      </c>
      <c r="B33" s="54" t="inlineStr">
        <is>
          <t>Which barrel is cylinder A</t>
        </is>
      </c>
      <c r="C33" s="54" t="inlineStr">
        <is>
          <t>-</t>
        </is>
      </c>
      <c r="D33" s="54" t="inlineStr">
        <is>
          <t>-</t>
        </is>
      </c>
      <c r="E33" s="54" t="inlineStr">
        <is>
          <t>unknown</t>
        </is>
      </c>
      <c r="F33" s="55" t="n"/>
      <c r="G33" s="54" t="inlineStr">
        <is>
          <t>ASM</t>
        </is>
      </c>
      <c r="H33" s="54" t="n"/>
      <c r="I33" s="54" t="n"/>
      <c r="J33" s="54" t="inlineStr">
        <is>
          <t>Energise %Q3.6 from the manual page and watch which rod extends. Then %Q2.5 for cylinder B. Two coils, two answers. See the PLC IO Map sheet.</t>
        </is>
      </c>
      <c r="K33" s="54" t="n"/>
    </row>
    <row r="34" ht="57" customHeight="1" s="43">
      <c r="A34" s="54" t="inlineStr">
        <is>
          <t>4b</t>
        </is>
      </c>
      <c r="B34" s="54" t="inlineStr">
        <is>
          <t>Where prox 6, 8, 9, 10 are bolted</t>
        </is>
      </c>
      <c r="C34" s="54" t="inlineStr">
        <is>
          <t>-</t>
        </is>
      </c>
      <c r="D34" s="54" t="inlineStr">
        <is>
          <t>-</t>
        </is>
      </c>
      <c r="E34" s="54" t="inlineStr">
        <is>
          <t>unknown</t>
        </is>
      </c>
      <c r="F34" s="55" t="n"/>
      <c r="G34" s="54" t="inlineStr">
        <is>
          <t>ASM</t>
        </is>
      </c>
      <c r="H34" s="54" t="n"/>
      <c r="I34" s="54" t="n"/>
      <c r="J34" s="54" t="inlineStr">
        <is>
          <t>Walk the cell with the PLC IO Map sheet. The roles are known from the program; the positions are not.</t>
        </is>
      </c>
      <c r="K34" s="54" t="n"/>
    </row>
    <row r="35">
      <c r="A35" s="54" t="inlineStr">
        <is>
          <t>16</t>
        </is>
      </c>
      <c r="B35" s="54" t="inlineStr">
        <is>
          <t>PRODUCT_HEIGHT per compartment</t>
        </is>
      </c>
      <c r="C35" s="54" t="inlineStr">
        <is>
          <t>h_prod</t>
        </is>
      </c>
      <c r="D35" s="54" t="inlineStr">
        <is>
          <t>mm</t>
        </is>
      </c>
      <c r="E35" s="54" t="inlineStr">
        <is>
          <t>50 / 25</t>
        </is>
      </c>
      <c r="F35" s="55" t="n"/>
      <c r="G35" s="54" t="inlineStr">
        <is>
          <t>PLC</t>
        </is>
      </c>
      <c r="H35" s="54" t="n"/>
      <c r="I35" s="54" t="n"/>
      <c r="J35" s="54" t="inlineStr">
        <is>
          <t>HMI: Product Data[..].PRODUCT_HEIGHT. The PLC is set up for 50 mm and 25 mm products; the block measured in the lab is 40 mm. Note what is PHYSICALLY loaded in each of the five compartments.</t>
        </is>
      </c>
      <c r="K35" s="54" t="n"/>
    </row>
    <row r="36">
      <c r="A36" s="54" t="inlineStr">
        <is>
          <t>17</t>
        </is>
      </c>
      <c r="B36" s="54" t="inlineStr">
        <is>
          <t>Are cylinders A and B double-solenoid</t>
        </is>
      </c>
      <c r="C36" s="54" t="inlineStr">
        <is>
          <t>-</t>
        </is>
      </c>
      <c r="D36" s="54" t="inlineStr">
        <is>
          <t>-</t>
        </is>
      </c>
      <c r="E36" s="54" t="inlineStr">
        <is>
          <t>assumed single</t>
        </is>
      </c>
      <c r="F36" s="55" t="n"/>
      <c r="G36" s="54" t="inlineStr">
        <is>
          <t>ASM</t>
        </is>
      </c>
      <c r="H36" s="54" t="n"/>
      <c r="I36" s="54" t="n"/>
      <c r="J36" s="54" t="inlineStr">
        <is>
          <t>Look at the two valve bodies. A double-solenoid 5/2 has a coil at each end and no spring. The PLC drives 4 coils as 2 extend/retract pairs, which only makes sense if they are.</t>
        </is>
      </c>
      <c r="K36" s="54" t="n"/>
    </row>
    <row r="37" ht="22.8" customHeight="1" s="43">
      <c r="A37" s="54" t="inlineStr">
        <is>
          <t>18</t>
        </is>
      </c>
      <c r="B37" s="54" t="inlineStr">
        <is>
          <t>What Pot_Control Conv1/2/3 axes move</t>
        </is>
      </c>
      <c r="C37" s="54" t="inlineStr">
        <is>
          <t>-</t>
        </is>
      </c>
      <c r="D37" s="54" t="inlineStr">
        <is>
          <t>-</t>
        </is>
      </c>
      <c r="E37" s="54" t="inlineStr">
        <is>
          <t>unknown</t>
        </is>
      </c>
      <c r="F37" s="55" t="n"/>
      <c r="G37" s="54" t="inlineStr">
        <is>
          <t>ASM</t>
        </is>
      </c>
      <c r="H37" s="54" t="n"/>
      <c r="I37" s="54" t="n"/>
      <c r="J37" s="54" t="inlineStr">
        <is>
          <t>Three MC_MoveAbsolute position axes named after the conveyors, separate from the 3 on/off conveyor coils. Jog each one and watch.</t>
        </is>
      </c>
      <c r="K37" s="54" t="n"/>
    </row>
    <row r="38">
      <c r="A38" s="52" t="inlineStr">
        <is>
          <t>FROM THE PHOTOGRAPHS AND COMPONENT DATA, 2026-09-02</t>
        </is>
      </c>
      <c r="B38" s="53" t="n"/>
      <c r="C38" s="53" t="n"/>
      <c r="D38" s="53" t="n"/>
      <c r="E38" s="53" t="n"/>
      <c r="F38" s="53" t="n"/>
      <c r="G38" s="53" t="n"/>
      <c r="H38" s="53" t="n"/>
      <c r="I38" s="53" t="n"/>
      <c r="J38" s="53" t="n"/>
      <c r="K38" s="53" t="n"/>
    </row>
    <row r="39">
      <c r="A39" s="54" t="inlineStr">
        <is>
          <t>19</t>
        </is>
      </c>
      <c r="B39" s="54" t="inlineStr">
        <is>
          <t>Conveyor motor nameplate</t>
        </is>
      </c>
      <c r="C39" s="54" t="inlineStr">
        <is>
          <t>-</t>
        </is>
      </c>
      <c r="D39" s="54" t="inlineStr">
        <is>
          <t>-</t>
        </is>
      </c>
      <c r="E39" s="54" t="inlineStr">
        <is>
          <t>generic</t>
        </is>
      </c>
      <c r="F39" s="55" t="n"/>
      <c r="G39" s="54" t="inlineStr">
        <is>
          <t>ASM</t>
        </is>
      </c>
      <c r="H39" s="54" t="n"/>
      <c r="I39" s="54" t="n"/>
      <c r="J39" s="54" t="inlineStr">
        <is>
          <t>THE HIGHEST-VALUE LABEL LEFT. J_mot, T_max, N_gear and belt speed are all assumed TOGETHER, so one nameplate settles four numbers. A Vexta AXHM450K-GFH (50 W, 100-3000 rpm) is named in the OTHER machine's document in Component Data - candidate only, do not assume.</t>
        </is>
      </c>
      <c r="K39" s="54" t="n"/>
    </row>
    <row r="40">
      <c r="A40" s="54" t="inlineStr">
        <is>
          <t>20</t>
        </is>
      </c>
      <c r="B40" s="54" t="inlineStr">
        <is>
          <t>Position switches on cylinders A/B</t>
        </is>
      </c>
      <c r="C40" s="54" t="inlineStr">
        <is>
          <t>-</t>
        </is>
      </c>
      <c r="D40" s="54" t="inlineStr">
        <is>
          <t>-</t>
        </is>
      </c>
      <c r="E40" s="54" t="inlineStr">
        <is>
          <t>none fitted</t>
        </is>
      </c>
      <c r="F40" s="55" t="n"/>
      <c r="G40" s="54" t="inlineStr">
        <is>
          <t>PLC</t>
        </is>
      </c>
      <c r="H40" s="54" t="n"/>
      <c r="I40" s="54" t="n"/>
      <c r="J40" s="54" t="inlineStr">
        <is>
          <t>The barrels read MAGNETIC, so the pistons CAN be sensed - yet the PLC reads no switch and latches its own command instead. Two reed switches would make cylinder A observable. Report this to whoever owns the cell.</t>
        </is>
      </c>
      <c r="K40" s="54" t="n"/>
    </row>
    <row r="41">
      <c r="A41" s="54" t="inlineStr">
        <is>
          <t>21</t>
        </is>
      </c>
      <c r="B41" s="54" t="inlineStr">
        <is>
          <t>Wood species of the blocks</t>
        </is>
      </c>
      <c r="C41" s="54" t="inlineStr">
        <is>
          <t>-</t>
        </is>
      </c>
      <c r="D41" s="54" t="inlineStr">
        <is>
          <t>-</t>
        </is>
      </c>
      <c r="E41" s="54" t="inlineStr">
        <is>
          <t>750 kg/m3</t>
        </is>
      </c>
      <c r="F41" s="55" t="n"/>
      <c r="G41" s="54" t="inlineStr">
        <is>
          <t>MEAS</t>
        </is>
      </c>
      <c r="H41" s="54" t="n"/>
      <c r="I41" s="54" t="n"/>
      <c r="J41" s="54" t="inlineStr">
        <is>
          <t>Density is confirmed by weighing and is not in doubt. The photographs show DARK BROWN HARDWOOD, which is plausible at 750 and not at 900. Species would settle whether the density generalises to a new batch.</t>
        </is>
      </c>
      <c r="K41" s="54" t="n"/>
    </row>
    <row r="42">
      <c r="A42" s="54" t="inlineStr">
        <is>
          <t>22</t>
        </is>
      </c>
      <c r="B42" s="54" t="inlineStr">
        <is>
          <t>Magazine slot pitch</t>
        </is>
      </c>
      <c r="C42" s="54" t="inlineStr">
        <is>
          <t>mag_pitch</t>
        </is>
      </c>
      <c r="D42" s="54" t="inlineStr">
        <is>
          <t>mm</t>
        </is>
      </c>
      <c r="E42" s="54" t="inlineStr">
        <is>
          <t>110</t>
        </is>
      </c>
      <c r="F42" s="55" t="n"/>
      <c r="G42" s="54" t="inlineStr">
        <is>
          <t>CAD</t>
        </is>
      </c>
      <c r="H42" s="54" t="n"/>
      <c r="I42" s="54" t="n"/>
      <c r="J42" s="54" t="inlineStr">
        <is>
          <t>From Magazine.STEP. Sets where proximity sensors 1-5 sit in the model, so a tape across two compartment centres corrects five placements at once.</t>
        </is>
      </c>
      <c r="K42" s="54" t="n"/>
    </row>
    <row r="43">
      <c r="A43" s="16" t="inlineStr">
        <is>
          <t>TIER 3 - LEAVE ASSUMED (each moved the result &lt;0.1 s and &lt;0.1 mm at +/-20%)</t>
        </is>
      </c>
      <c r="B43" s="17" t="n"/>
      <c r="C43" s="17" t="n"/>
      <c r="D43" s="17" t="n"/>
      <c r="E43" s="17" t="n"/>
      <c r="F43" s="17" t="n"/>
      <c r="G43" s="17" t="n"/>
      <c r="H43" s="17" t="n"/>
      <c r="I43" s="17" t="n"/>
      <c r="J43" s="17" t="n"/>
    </row>
    <row r="44" ht="22.8" customHeight="1" s="43">
      <c r="B44" s="44" t="inlineStr">
        <is>
          <t>C_valve, C_ctrl_max, V_dead, tau_valve, tau_dv, c_visc, F_coul0, m_pist, m_base, k_ct, lam_ct, k_end, lam_end, N_gear, eta_gb, J_mot, J_pul, T_max, v_base, z_top, Kp/Ki/Kd</t>
        </is>
      </c>
    </row>
    <row r="45">
      <c r="B45" s="19" t="inlineStr">
        <is>
          <t>NOTE: C_valve and C_ctrl_max have NO measurable effect. Peak demand is 386 l/min against a 450 l/min valve rating, so the system is not flow-restricted. Refining them will not change the answer.</t>
        </is>
      </c>
    </row>
    <row r="46" ht="26.4" customHeight="1" s="43"/>
    <row r="47" ht="57" customHeight="1" s="43">
      <c r="A47" s="20" t="inlineStr">
        <is>
          <t>DERIVED - recalculates from your values above. Do not overwrite.</t>
        </is>
      </c>
      <c r="B47" s="21" t="n"/>
      <c r="C47" s="21" t="n"/>
      <c r="D47" s="21" t="n"/>
      <c r="E47" s="21" t="n"/>
      <c r="F47" s="21" t="n"/>
      <c r="G47" s="21" t="n"/>
      <c r="H47" s="21" t="n"/>
      <c r="I47" s="21" t="n"/>
      <c r="J47" s="21" t="n"/>
    </row>
    <row r="48" ht="45.6" customHeight="1" s="43">
      <c r="A48" s="22" t="n"/>
      <c r="B48" s="10" t="inlineStr">
        <is>
          <t>Cap-side piston area</t>
        </is>
      </c>
      <c r="C48" s="10" t="inlineStr">
        <is>
          <t>A_A</t>
        </is>
      </c>
      <c r="D48" s="10" t="inlineStr">
        <is>
          <t>mm2</t>
        </is>
      </c>
      <c r="E48" s="22" t="n"/>
      <c r="F48" s="34">
        <f>PI()*(IF(F8="",E8,F8))^2/4</f>
        <v/>
      </c>
      <c r="G48" s="22" t="n"/>
      <c r="H48" s="22" t="n"/>
      <c r="I48" s="22" t="n"/>
      <c r="J48" s="23" t="inlineStr">
        <is>
          <t>Uses YOUR VALUE when present, otherwise the Current value, so the sheet is live from first open.</t>
        </is>
      </c>
    </row>
    <row r="49" ht="39.6" customHeight="1" s="43">
      <c r="A49" s="22" t="n"/>
      <c r="B49" s="10" t="inlineStr">
        <is>
          <t>Annulus piston area</t>
        </is>
      </c>
      <c r="C49" s="10" t="inlineStr">
        <is>
          <t>A_B</t>
        </is>
      </c>
      <c r="D49" s="10" t="inlineStr">
        <is>
          <t>mm2</t>
        </is>
      </c>
      <c r="E49" s="22" t="n"/>
      <c r="F49" s="34">
        <f>PI()*((IF(F8="",E8,F8))^2-(IF(F9="",E9,F9))^2)/4</f>
        <v/>
      </c>
      <c r="G49" s="22" t="n"/>
      <c r="H49" s="22" t="n"/>
      <c r="I49" s="22" t="n"/>
      <c r="J49" s="23" t="inlineStr">
        <is>
          <t>E4 / E5:  pi*(D^2-d^2)/4</t>
        </is>
      </c>
    </row>
    <row r="50" ht="45.6" customHeight="1" s="43">
      <c r="A50" s="22" t="n"/>
      <c r="B50" s="10" t="inlineStr">
        <is>
          <t>Cap-side force at 6 bar</t>
        </is>
      </c>
      <c r="C50" s="10" t="inlineStr">
        <is>
          <t>F_A</t>
        </is>
      </c>
      <c r="D50" s="10" t="inlineStr">
        <is>
          <t>N</t>
        </is>
      </c>
      <c r="E50" s="22" t="n"/>
      <c r="F50" s="34">
        <f>0.9*0.6*F48</f>
        <v/>
      </c>
      <c r="G50" s="22" t="n"/>
      <c r="H50" s="22" t="n"/>
      <c r="I50" s="22" t="n"/>
      <c r="J50" s="23" t="inlineStr">
        <is>
          <t>E6: 0.90 Janatics catalogue efficiency</t>
        </is>
      </c>
    </row>
    <row r="51">
      <c r="A51" s="22" t="n"/>
      <c r="B51" s="10" t="inlineStr">
        <is>
          <t>Annulus force at 6 bar</t>
        </is>
      </c>
      <c r="C51" s="10" t="inlineStr">
        <is>
          <t>F_B</t>
        </is>
      </c>
      <c r="D51" s="10" t="inlineStr">
        <is>
          <t>N</t>
        </is>
      </c>
      <c r="E51" s="22" t="n"/>
      <c r="F51" s="34">
        <f>0.9*0.6*F49</f>
        <v/>
      </c>
      <c r="G51" s="22" t="n"/>
      <c r="H51" s="22" t="n"/>
      <c r="I51" s="22" t="n"/>
      <c r="J51" s="23" t="inlineStr">
        <is>
          <t>Catalogue cross-check: bore 20 / rod 8 gives 142 N</t>
        </is>
      </c>
    </row>
    <row r="52">
      <c r="A52" s="22" t="n"/>
      <c r="B52" s="10" t="inlineStr">
        <is>
          <t>Workpiece volume</t>
        </is>
      </c>
      <c r="C52" s="10" t="inlineStr">
        <is>
          <t>V_blk</t>
        </is>
      </c>
      <c r="D52" s="10" t="inlineStr">
        <is>
          <t>mm3</t>
        </is>
      </c>
      <c r="E52" s="22" t="n"/>
      <c r="F52" s="34">
        <f>(IF(F15="",E15,F15))*(IF(F16="",E16,F16))*(IF(F17="",E17,F17))</f>
        <v/>
      </c>
      <c r="G52" s="22" t="n"/>
      <c r="H52" s="22" t="n"/>
      <c r="I52" s="22" t="n"/>
      <c r="J52" s="23" t="inlineStr">
        <is>
          <t>E11</t>
        </is>
      </c>
    </row>
    <row r="53">
      <c r="A53" s="22" t="n"/>
      <c r="B53" s="10" t="inlineStr">
        <is>
          <t>Workpiece mass</t>
        </is>
      </c>
      <c r="C53" s="10" t="inlineStr">
        <is>
          <t>m_blk</t>
        </is>
      </c>
      <c r="D53" s="10" t="inlineStr">
        <is>
          <t>kg</t>
        </is>
      </c>
      <c r="E53" s="22" t="n"/>
      <c r="F53" s="34">
        <f>F52*(IF(F18="",E18,F18))/1000000000</f>
        <v/>
      </c>
      <c r="G53" s="22" t="n"/>
      <c r="H53" s="22" t="n"/>
      <c r="I53" s="22" t="n"/>
      <c r="J53" s="23" t="inlineStr">
        <is>
          <t>E11 / E12:  rho * V</t>
        </is>
      </c>
    </row>
    <row r="54">
      <c r="A54" s="22" t="n"/>
      <c r="B54" s="10" t="inlineStr">
        <is>
          <t>Normal load on support</t>
        </is>
      </c>
      <c r="C54" s="10" t="inlineStr">
        <is>
          <t>N</t>
        </is>
      </c>
      <c r="D54" s="10" t="inlineStr">
        <is>
          <t>N</t>
        </is>
      </c>
      <c r="E54" s="22" t="n"/>
      <c r="F54" s="34">
        <f>F53*9.80665</f>
        <v/>
      </c>
      <c r="G54" s="22" t="n"/>
      <c r="H54" s="22" t="n"/>
      <c r="I54" s="22" t="n"/>
      <c r="J54" s="23" t="inlineStr">
        <is>
          <t>E12:  N = m*g</t>
        </is>
      </c>
    </row>
    <row r="55">
      <c r="A55" s="22" t="n"/>
      <c r="B55" s="10" t="inlineStr">
        <is>
          <t>Static friction limit</t>
        </is>
      </c>
      <c r="C55" s="10" t="inlineStr">
        <is>
          <t>F_s_max</t>
        </is>
      </c>
      <c r="D55" s="10" t="inlineStr">
        <is>
          <t>N</t>
        </is>
      </c>
      <c r="E55" s="22" t="n"/>
      <c r="F55" s="34">
        <f>F54*(IF(F25="",E25,F25))</f>
        <v/>
      </c>
      <c r="G55" s="22" t="n"/>
      <c r="H55" s="22" t="n"/>
      <c r="I55" s="22" t="n"/>
      <c r="J55" s="23" t="inlineStr">
        <is>
          <t>E12: mu_s*N. Must exceed the force needed to accelerate the block.</t>
        </is>
      </c>
    </row>
    <row r="57">
      <c r="B57" s="24" t="inlineStr">
        <is>
          <t>Assumptions baked into the derived cells</t>
        </is>
      </c>
    </row>
    <row r="58">
      <c r="B58" s="19" t="inlineStr">
        <is>
          <t>Force uses the Janatics catalogue efficiency 0.90 (J.CYL.f_eff in JanaticsData.m). Gravity 9.80665 m/s2. Pressure 6 bar gauge converted as 0.6 N/mm2.</t>
        </is>
      </c>
    </row>
    <row r="59">
      <c r="B59" s="19" t="inlineStr">
        <is>
          <t>ONE bore/rod pair is applied to all five cylinders, which is unlikely to be true: the strokes range from 87.5 mm to 257.5 mm, so the bores plausibly differ too.</t>
        </is>
      </c>
    </row>
    <row r="60">
      <c r="B60" s="24" t="inlineStr">
        <is>
          <t>EXAMPLE (current model values, for format reference only - replace with your measurements)</t>
        </is>
      </c>
    </row>
    <row r="61">
      <c r="B61" s="19" t="inlineStr">
        <is>
          <t>D_bore = 20 mm, d_rod = 8 mm  -&gt;  A_A = 314.159 mm2, A_B = 263.894 mm2, F_B at 6 bar = 142.5 N.  NOTE 2026-08-26: this pair is a FORMAT EXAMPLE ONLY. The CAD shows the real cell runs bore 8 and bore 32, not 20.</t>
        </is>
      </c>
    </row>
  </sheetData>
  <pageMargins left="0.75" right="0.75" top="1" bottom="1" header="0.5" footer="0.5"/>
  <pageSetup orientation="portrait"/>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56"/>
  <sheetViews>
    <sheetView workbookViewId="0">
      <pane ySplit="5" topLeftCell="A6" activePane="bottomLeft" state="frozen"/>
      <selection pane="bottomLeft" activeCell="A1" sqref="A1"/>
    </sheetView>
  </sheetViews>
  <sheetFormatPr baseColWidth="8" defaultRowHeight="15"/>
  <cols>
    <col width="10" customWidth="1" style="43" min="1" max="1"/>
    <col width="22" customWidth="1" style="43" min="2" max="2"/>
    <col width="42" customWidth="1" style="43" min="3" max="3"/>
    <col width="12" customWidth="1" style="43" min="4" max="4"/>
    <col width="30" customWidth="1" style="43" min="5" max="5"/>
    <col width="34" customWidth="1" style="43" min="6" max="6"/>
  </cols>
  <sheetData>
    <row r="1">
      <c r="A1" s="56" t="inlineStr">
        <is>
          <t>PLC I/O MAP - read out of the machine's own program, 2026-08-30</t>
        </is>
      </c>
    </row>
    <row r="2">
      <c r="A2" s="57" t="inlineStr">
        <is>
          <t>Source: plc/abc.pdf, the TIA Portal "Program blocks" export. FC3 solenoid_manual is the only network that writes an output coil, and FC8 Fc_IO mirrors the same addresses to the HMI - the two agree, which is why these are trusted.</t>
        </is>
      </c>
    </row>
    <row r="3">
      <c r="A3" s="58" t="inlineStr">
        <is>
          <t>Rows marked CONFIRM are placements the program does NOT state. Jog the coil, watch what moves, write it in. Sensor rows are GREEN because all ten are modelled as of 2026-09-02 - the signal named is live in MATLAB and Simulink; the placement note beside it says whether that position is known or assumed.  |  MODEL SIGNAL column completed for the OUTPUTS on 2026-09-02: the plant now carries all 11 pneumatic actuators on 13 coils, two of them double-solenoid, so every coil maps to something that exists.</t>
        </is>
      </c>
    </row>
    <row r="5">
      <c r="A5" s="59" t="inlineStr">
        <is>
          <t>Address</t>
        </is>
      </c>
      <c r="B5" s="59" t="inlineStr">
        <is>
          <t>PLC symbol</t>
        </is>
      </c>
      <c r="C5" s="59" t="inlineStr">
        <is>
          <t>What the program says it does</t>
        </is>
      </c>
      <c r="D5" s="59" t="inlineStr">
        <is>
          <t>Certainty</t>
        </is>
      </c>
      <c r="E5" s="59" t="inlineStr">
        <is>
          <t>MODEL SIGNAL / fill in</t>
        </is>
      </c>
      <c r="F5" s="59" t="inlineStr">
        <is>
          <t>Position / notes</t>
        </is>
      </c>
    </row>
    <row r="6">
      <c r="A6" s="52" t="inlineStr">
        <is>
          <t>OUTPUTS - 13 solenoids, 3 conveyors, engraver</t>
        </is>
      </c>
      <c r="B6" s="53" t="n"/>
      <c r="C6" s="53" t="n"/>
      <c r="D6" s="53" t="n"/>
      <c r="E6" s="53" t="n"/>
      <c r="F6" s="53" t="n"/>
    </row>
    <row r="7">
      <c r="A7" s="60" t="inlineStr">
        <is>
          <t>%Q3.1</t>
        </is>
      </c>
      <c r="B7" s="60" t="inlineStr">
        <is>
          <t>solenoid_valve_1</t>
        </is>
      </c>
      <c r="C7" s="54" t="inlineStr">
        <is>
          <t>magazine compartment 1 pusher</t>
        </is>
      </c>
      <c r="D7" s="54" t="inlineStr">
        <is>
          <t>program text</t>
        </is>
      </c>
      <c r="E7" s="55" t="inlineStr">
        <is>
          <t>u.sol(1)  -&gt; MAG1_PUSH</t>
        </is>
      </c>
      <c r="F7" s="55" t="n"/>
    </row>
    <row r="8">
      <c r="A8" s="60" t="inlineStr">
        <is>
          <t>%Q3.0</t>
        </is>
      </c>
      <c r="B8" s="60" t="inlineStr">
        <is>
          <t>solenoid_valve_2</t>
        </is>
      </c>
      <c r="C8" s="54" t="inlineStr">
        <is>
          <t>magazine compartment 2 pusher</t>
        </is>
      </c>
      <c r="D8" s="54" t="inlineStr">
        <is>
          <t>program text</t>
        </is>
      </c>
      <c r="E8" s="55" t="inlineStr">
        <is>
          <t>u.sol(2)  -&gt; MAG2_PUSH</t>
        </is>
      </c>
      <c r="F8" s="55" t="n"/>
    </row>
    <row r="9">
      <c r="A9" s="60" t="inlineStr">
        <is>
          <t>%Q2.7</t>
        </is>
      </c>
      <c r="B9" s="60" t="inlineStr">
        <is>
          <t>solenoid_valve_3</t>
        </is>
      </c>
      <c r="C9" s="54" t="inlineStr">
        <is>
          <t>magazine compartment 3 pusher</t>
        </is>
      </c>
      <c r="D9" s="54" t="inlineStr">
        <is>
          <t>program text</t>
        </is>
      </c>
      <c r="E9" s="55" t="inlineStr">
        <is>
          <t>u.sol(3)  -&gt; MAG3_PUSH</t>
        </is>
      </c>
      <c r="F9" s="55" t="n"/>
    </row>
    <row r="10">
      <c r="A10" s="60" t="inlineStr">
        <is>
          <t>%Q2.6</t>
        </is>
      </c>
      <c r="B10" s="60" t="inlineStr">
        <is>
          <t>solenoid_valve_4</t>
        </is>
      </c>
      <c r="C10" s="54" t="inlineStr">
        <is>
          <t>magazine compartment 4 pusher</t>
        </is>
      </c>
      <c r="D10" s="54" t="inlineStr">
        <is>
          <t>program text</t>
        </is>
      </c>
      <c r="E10" s="55" t="inlineStr">
        <is>
          <t>u.sol(4)  -&gt; MAG4_PUSH</t>
        </is>
      </c>
      <c r="F10" s="55" t="n"/>
    </row>
    <row r="11">
      <c r="A11" s="60" t="inlineStr">
        <is>
          <t>%Q2.2</t>
        </is>
      </c>
      <c r="B11" s="60" t="inlineStr">
        <is>
          <t>solenoid_valve_5</t>
        </is>
      </c>
      <c r="C11" s="54" t="inlineStr">
        <is>
          <t>magazine compartment 5 pusher</t>
        </is>
      </c>
      <c r="D11" s="54" t="inlineStr">
        <is>
          <t>program text</t>
        </is>
      </c>
      <c r="E11" s="55" t="inlineStr">
        <is>
          <t>u.sol(5)  -&gt; MAG5_PUSH</t>
        </is>
      </c>
      <c r="F11" s="55" t="n"/>
    </row>
    <row r="12">
      <c r="A12" s="60" t="inlineStr">
        <is>
          <t>%Q0.2</t>
        </is>
      </c>
      <c r="B12" s="60" t="inlineStr">
        <is>
          <t>solenoid_valve_6</t>
        </is>
      </c>
      <c r="C12" s="54" t="inlineStr">
        <is>
          <t>conveyor 1 -&gt; 2 transfer (inferred)</t>
        </is>
      </c>
      <c r="D12" s="61" t="inlineStr">
        <is>
          <t>CONFIRM</t>
        </is>
      </c>
      <c r="E12" s="55" t="inlineStr">
        <is>
          <t>u.sol(6)  -&gt; XFER_CV1_CV2</t>
        </is>
      </c>
      <c r="F12" s="55" t="n"/>
    </row>
    <row r="13">
      <c r="A13" s="60" t="inlineStr">
        <is>
          <t>%Q3.6</t>
        </is>
      </c>
      <c r="B13" s="60" t="inlineStr">
        <is>
          <t>solenoid_valve_7</t>
        </is>
      </c>
      <c r="C13" s="54" t="inlineStr">
        <is>
          <t>CYLINDER A EXTEND</t>
        </is>
      </c>
      <c r="D13" s="54" t="inlineStr">
        <is>
          <t>program text</t>
        </is>
      </c>
      <c r="E13" s="55" t="inlineStr">
        <is>
          <t>u.sol(7)  -&gt; CYL_A extend  (DOUBLE-SOLENOID)</t>
        </is>
      </c>
      <c r="F13" s="55" t="n"/>
    </row>
    <row r="14">
      <c r="A14" s="60" t="inlineStr">
        <is>
          <t>%Q2.0</t>
        </is>
      </c>
      <c r="B14" s="60" t="inlineStr">
        <is>
          <t>solenoid_valve_8</t>
        </is>
      </c>
      <c r="C14" s="54" t="inlineStr">
        <is>
          <t>CYLINDER A RETRACT</t>
        </is>
      </c>
      <c r="D14" s="54" t="inlineStr">
        <is>
          <t>program text</t>
        </is>
      </c>
      <c r="E14" s="55" t="inlineStr">
        <is>
          <t>u.sol(8)  -&gt; CYL_A retract (DOUBLE-SOLENOID)</t>
        </is>
      </c>
      <c r="F14" s="55" t="n"/>
    </row>
    <row r="15">
      <c r="A15" s="60" t="inlineStr">
        <is>
          <t>%Q2.5</t>
        </is>
      </c>
      <c r="B15" s="60" t="inlineStr">
        <is>
          <t>solenoid_valve_9</t>
        </is>
      </c>
      <c r="C15" s="54" t="inlineStr">
        <is>
          <t>CYLINDER B EXTEND</t>
        </is>
      </c>
      <c r="D15" s="54" t="inlineStr">
        <is>
          <t>program text</t>
        </is>
      </c>
      <c r="E15" s="55" t="inlineStr">
        <is>
          <t>u.sol(9)  -&gt; CYL_B extend  (DOUBLE-SOLENOID)</t>
        </is>
      </c>
      <c r="F15" s="55" t="n"/>
    </row>
    <row r="16">
      <c r="A16" s="60" t="inlineStr">
        <is>
          <t>%Q2.4</t>
        </is>
      </c>
      <c r="B16" s="60" t="inlineStr">
        <is>
          <t>solenoid_valve_10</t>
        </is>
      </c>
      <c r="C16" s="54" t="inlineStr">
        <is>
          <t>CYLINDER B RETRACT</t>
        </is>
      </c>
      <c r="D16" s="54" t="inlineStr">
        <is>
          <t>program text</t>
        </is>
      </c>
      <c r="E16" s="55" t="inlineStr">
        <is>
          <t>u.sol(10) -&gt; CYL_B retract (DOUBLE-SOLENOID)</t>
        </is>
      </c>
      <c r="F16" s="55" t="n"/>
    </row>
    <row r="17">
      <c r="A17" s="60" t="inlineStr">
        <is>
          <t>%Q2.3</t>
        </is>
      </c>
      <c r="B17" s="60" t="inlineStr">
        <is>
          <t>solenoid_valve_11</t>
        </is>
      </c>
      <c r="C17" s="54" t="inlineStr">
        <is>
          <t>conveyor 2 -&gt; 3 transfer (inferred)</t>
        </is>
      </c>
      <c r="D17" s="61" t="inlineStr">
        <is>
          <t>CONFIRM</t>
        </is>
      </c>
      <c r="E17" s="55" t="inlineStr">
        <is>
          <t>u.sol(11) -&gt; XFER_CV2_CV3  (POSITION UNKNOWN)</t>
        </is>
      </c>
      <c r="F17" s="55" t="n"/>
    </row>
    <row r="18">
      <c r="A18" s="60" t="inlineStr">
        <is>
          <t>%Q0.1</t>
        </is>
      </c>
      <c r="B18" s="60" t="inlineStr">
        <is>
          <t>solenoid_valve_12</t>
        </is>
      </c>
      <c r="C18" s="54" t="inlineStr">
        <is>
          <t>outfeed after prox 9, 5 s pulse</t>
        </is>
      </c>
      <c r="D18" s="61" t="inlineStr">
        <is>
          <t>CONFIRM</t>
        </is>
      </c>
      <c r="E18" s="55" t="inlineStr">
        <is>
          <t>u.sol(12) -&gt; OUTFEED_A</t>
        </is>
      </c>
      <c r="F18" s="55" t="n"/>
    </row>
    <row r="19">
      <c r="A19" s="60" t="inlineStr">
        <is>
          <t>%Q2.1</t>
        </is>
      </c>
      <c r="B19" s="60" t="inlineStr">
        <is>
          <t>solenoid_valve_13</t>
        </is>
      </c>
      <c r="C19" s="54" t="inlineStr">
        <is>
          <t>outfeed after prox 10, 5 s pulse</t>
        </is>
      </c>
      <c r="D19" s="61" t="inlineStr">
        <is>
          <t>CONFIRM</t>
        </is>
      </c>
      <c r="E19" s="55" t="inlineStr">
        <is>
          <t>u.sol(13) -&gt; OUTFEED_B     (at PX10, [ASM] by FC6 N16 symmetry)</t>
        </is>
      </c>
      <c r="F19" s="55" t="n"/>
    </row>
    <row r="20">
      <c r="A20" s="60" t="inlineStr">
        <is>
          <t>%Q3.2</t>
        </is>
      </c>
      <c r="B20" s="60" t="inlineStr">
        <is>
          <t>conveyor_1</t>
        </is>
      </c>
      <c r="C20" s="54" t="inlineStr">
        <is>
          <t>conveyor 1 run</t>
        </is>
      </c>
      <c r="D20" s="54" t="inlineStr">
        <is>
          <t>program text</t>
        </is>
      </c>
      <c r="E20" s="55" t="inlineStr">
        <is>
          <t>u.conv(1)</t>
        </is>
      </c>
      <c r="F20" s="55" t="n"/>
    </row>
    <row r="21">
      <c r="A21" s="60" t="inlineStr">
        <is>
          <t>%Q3.3</t>
        </is>
      </c>
      <c r="B21" s="60" t="inlineStr">
        <is>
          <t>conveyor_2</t>
        </is>
      </c>
      <c r="C21" s="54" t="inlineStr">
        <is>
          <t>conveyor 2 run</t>
        </is>
      </c>
      <c r="D21" s="54" t="inlineStr">
        <is>
          <t>program text</t>
        </is>
      </c>
      <c r="E21" s="55" t="inlineStr">
        <is>
          <t>u.conv(2)</t>
        </is>
      </c>
      <c r="F21" s="55" t="n"/>
    </row>
    <row r="22">
      <c r="A22" s="60" t="inlineStr">
        <is>
          <t>%Q3.4</t>
        </is>
      </c>
      <c r="B22" s="60" t="inlineStr">
        <is>
          <t>conveyor_3</t>
        </is>
      </c>
      <c r="C22" s="54" t="inlineStr">
        <is>
          <t>conveyor 3 run</t>
        </is>
      </c>
      <c r="D22" s="54" t="inlineStr">
        <is>
          <t>program text</t>
        </is>
      </c>
      <c r="E22" s="55" t="inlineStr">
        <is>
          <t>u.conv(3)</t>
        </is>
      </c>
      <c r="F22" s="55" t="n"/>
    </row>
    <row r="23">
      <c r="A23" s="60" t="inlineStr">
        <is>
          <t>%Q3.5</t>
        </is>
      </c>
      <c r="B23" s="60" t="inlineStr">
        <is>
          <t>engraving_power</t>
        </is>
      </c>
      <c r="C23" s="54" t="inlineStr">
        <is>
          <t>engraver power</t>
        </is>
      </c>
      <c r="D23" s="54" t="inlineStr">
        <is>
          <t>program text</t>
        </is>
      </c>
      <c r="E23" s="55" t="inlineStr">
        <is>
          <t>NOT MODELLED - the model has no engraver power output</t>
        </is>
      </c>
      <c r="F23" s="55" t="n"/>
    </row>
    <row r="24">
      <c r="A24" s="52" t="inlineStr">
        <is>
          <t>INPUTS - 10 proximity, 2 platform limits, E-stop, pressure</t>
        </is>
      </c>
      <c r="B24" s="53" t="n"/>
      <c r="C24" s="53" t="n"/>
      <c r="D24" s="53" t="n"/>
      <c r="E24" s="53" t="n"/>
      <c r="F24" s="53" t="n"/>
    </row>
    <row r="25">
      <c r="A25" s="60" t="inlineStr">
        <is>
          <t>%I0.3</t>
        </is>
      </c>
      <c r="B25" s="60" t="inlineStr">
        <is>
          <t>Proximity_Sensor_1</t>
        </is>
      </c>
      <c r="C25" s="54" t="inlineStr">
        <is>
          <t>compartment 1 dispense confirm</t>
        </is>
      </c>
      <c r="D25" s="54" t="inlineStr">
        <is>
          <t>program text</t>
        </is>
      </c>
      <c r="E25" s="64" t="inlineStr">
        <is>
          <t>y.PX(1)</t>
        </is>
      </c>
      <c r="F25" s="55" t="inlineStr">
        <is>
          <t>magazine compartment 1 = model feed point</t>
        </is>
      </c>
    </row>
    <row r="26">
      <c r="A26" s="60" t="inlineStr">
        <is>
          <t>%I0.7</t>
        </is>
      </c>
      <c r="B26" s="60" t="inlineStr">
        <is>
          <t>Proximity_Sensor_2</t>
        </is>
      </c>
      <c r="C26" s="54" t="inlineStr">
        <is>
          <t>compartment 2 dispense confirm</t>
        </is>
      </c>
      <c r="D26" s="54" t="inlineStr">
        <is>
          <t>program text</t>
        </is>
      </c>
      <c r="E26" s="64" t="inlineStr">
        <is>
          <t>y.PX(2)</t>
        </is>
      </c>
      <c r="F26" s="55" t="inlineStr">
        <is>
          <t>compartment 1 + 110 mm (CAD slot pitch)</t>
        </is>
      </c>
    </row>
    <row r="27">
      <c r="A27" s="60" t="inlineStr">
        <is>
          <t>%I0.0</t>
        </is>
      </c>
      <c r="B27" s="60" t="inlineStr">
        <is>
          <t>Proximity_Sensor_3</t>
        </is>
      </c>
      <c r="C27" s="54" t="inlineStr">
        <is>
          <t>compartment 3 dispense confirm</t>
        </is>
      </c>
      <c r="D27" s="54" t="inlineStr">
        <is>
          <t>program text</t>
        </is>
      </c>
      <c r="E27" s="64" t="inlineStr">
        <is>
          <t>y.PX(3)</t>
        </is>
      </c>
      <c r="F27" s="55" t="inlineStr">
        <is>
          <t>compartment 1 + 220 mm</t>
        </is>
      </c>
    </row>
    <row r="28">
      <c r="A28" s="60" t="inlineStr">
        <is>
          <t>%I0.1</t>
        </is>
      </c>
      <c r="B28" s="60" t="inlineStr">
        <is>
          <t>Proximity_Sensor_4</t>
        </is>
      </c>
      <c r="C28" s="54" t="inlineStr">
        <is>
          <t>compartment 4 dispense confirm</t>
        </is>
      </c>
      <c r="D28" s="54" t="inlineStr">
        <is>
          <t>program text</t>
        </is>
      </c>
      <c r="E28" s="64" t="inlineStr">
        <is>
          <t>y.PX(4)</t>
        </is>
      </c>
      <c r="F28" s="55" t="inlineStr">
        <is>
          <t>compartment 1 + 330 mm</t>
        </is>
      </c>
    </row>
    <row r="29">
      <c r="A29" s="60" t="inlineStr">
        <is>
          <t>%I1.1</t>
        </is>
      </c>
      <c r="B29" s="60" t="inlineStr">
        <is>
          <t>Proximity_Sensor_5</t>
        </is>
      </c>
      <c r="C29" s="54" t="inlineStr">
        <is>
          <t>compartment 5 dispense confirm</t>
        </is>
      </c>
      <c r="D29" s="54" t="inlineStr">
        <is>
          <t>program text</t>
        </is>
      </c>
      <c r="E29" s="64" t="inlineStr">
        <is>
          <t>y.PX(5)</t>
        </is>
      </c>
      <c r="F29" s="55" t="inlineStr">
        <is>
          <t>compartment 1 + 440 mm</t>
        </is>
      </c>
    </row>
    <row r="30">
      <c r="A30" s="60" t="inlineStr">
        <is>
          <t>%I1.5</t>
        </is>
      </c>
      <c r="B30" s="60" t="inlineStr">
        <is>
          <t>Proximity_Sensor_6</t>
        </is>
      </c>
      <c r="C30" s="54" t="inlineStr">
        <is>
          <t>on conveyor 1 (position unknown)</t>
        </is>
      </c>
      <c r="D30" s="61" t="inlineStr">
        <is>
          <t>CONFIRM</t>
        </is>
      </c>
      <c r="E30" s="64" t="inlineStr">
        <is>
          <t>y.PX(6)</t>
        </is>
      </c>
      <c r="F30" s="55" t="inlineStr">
        <is>
          <t>conveyor 1 end - GUARDS the sequence</t>
        </is>
      </c>
    </row>
    <row r="31">
      <c r="A31" s="60" t="inlineStr">
        <is>
          <t>%I0.4</t>
        </is>
      </c>
      <c r="B31" s="60" t="inlineStr">
        <is>
          <t>Proximity_Sensor_7</t>
        </is>
      </c>
      <c r="C31" s="54" t="inlineStr">
        <is>
          <t>conveyor 2 mid ("WP IN CV2 MID")</t>
        </is>
      </c>
      <c r="D31" s="54" t="inlineStr">
        <is>
          <t>program text</t>
        </is>
      </c>
      <c r="E31" s="64" t="inlineStr">
        <is>
          <t>y.PX(7)</t>
        </is>
      </c>
      <c r="F31" s="55" t="inlineStr">
        <is>
          <t>conveyor 2 midpoint - ASSUMED</t>
        </is>
      </c>
    </row>
    <row r="32">
      <c r="A32" s="60" t="inlineStr">
        <is>
          <t>%I0.6</t>
        </is>
      </c>
      <c r="B32" s="60" t="inlineStr">
        <is>
          <t>Proximity_Sensor_8</t>
        </is>
      </c>
      <c r="C32" s="54" t="inlineStr">
        <is>
          <t>end of conveyor 2 (inferred)</t>
        </is>
      </c>
      <c r="D32" s="61" t="inlineStr">
        <is>
          <t>CONFIRM</t>
        </is>
      </c>
      <c r="E32" s="64" t="inlineStr">
        <is>
          <t>y.PX(8)</t>
        </is>
      </c>
      <c r="F32" s="55" t="inlineStr">
        <is>
          <t>conveyor 2 end - GUARDS the sequence</t>
        </is>
      </c>
    </row>
    <row r="33">
      <c r="A33" s="60" t="inlineStr">
        <is>
          <t>%I0.2</t>
        </is>
      </c>
      <c r="B33" s="60" t="inlineStr">
        <is>
          <t>Proximity_Sensor_9</t>
        </is>
      </c>
      <c r="C33" s="54" t="inlineStr">
        <is>
          <t>conveyor 3, gates solenoid 12</t>
        </is>
      </c>
      <c r="D33" s="61" t="inlineStr">
        <is>
          <t>CONFIRM</t>
        </is>
      </c>
      <c r="E33" s="64" t="inlineStr">
        <is>
          <t>y.PX(9)</t>
        </is>
      </c>
      <c r="F33" s="55" t="inlineStr">
        <is>
          <t>conveyor 3 end - GUARDS the sequence</t>
        </is>
      </c>
    </row>
    <row r="34">
      <c r="A34" s="60" t="inlineStr">
        <is>
          <t>%I0.5</t>
        </is>
      </c>
      <c r="B34" s="60" t="inlineStr">
        <is>
          <t>Proximity_Sensor_10</t>
        </is>
      </c>
      <c r="C34" s="54" t="inlineStr">
        <is>
          <t>conveyor 3, gates solenoid 13</t>
        </is>
      </c>
      <c r="D34" s="61" t="inlineStr">
        <is>
          <t>CONFIRM</t>
        </is>
      </c>
      <c r="E34" s="64" t="inlineStr">
        <is>
          <t>y.PX(10)</t>
        </is>
      </c>
      <c r="F34" s="55" t="inlineStr">
        <is>
          <t>60 % along conveyor 3 - ASSUMED</t>
        </is>
      </c>
    </row>
    <row r="35">
      <c r="A35" s="60" t="inlineStr">
        <is>
          <t>%I1.2</t>
        </is>
      </c>
      <c r="B35" s="60" t="inlineStr">
        <is>
          <t>Proximity_Sensor_11</t>
        </is>
      </c>
      <c r="C35" s="54" t="inlineStr">
        <is>
          <t>PGM_Low_Limit - platform bottom</t>
        </is>
      </c>
      <c r="D35" s="54" t="inlineStr">
        <is>
          <t>program text</t>
        </is>
      </c>
      <c r="E35" s="64" t="inlineStr">
        <is>
          <t>y.HS_BOT</t>
        </is>
      </c>
      <c r="F35" s="55" t="inlineStr">
        <is>
          <t>engraving platform, bottom</t>
        </is>
      </c>
    </row>
    <row r="36">
      <c r="A36" s="60" t="inlineStr">
        <is>
          <t>%I1.0</t>
        </is>
      </c>
      <c r="B36" s="60" t="inlineStr">
        <is>
          <t>Proximity_Sensor_12</t>
        </is>
      </c>
      <c r="C36" s="54" t="inlineStr">
        <is>
          <t>PGM_Up_Limit - platform top</t>
        </is>
      </c>
      <c r="D36" s="54" t="inlineStr">
        <is>
          <t>program text</t>
        </is>
      </c>
      <c r="E36" s="64" t="inlineStr">
        <is>
          <t>y.HS_TOP</t>
        </is>
      </c>
      <c r="F36" s="55" t="inlineStr">
        <is>
          <t>engraving platform, top</t>
        </is>
      </c>
    </row>
    <row r="37">
      <c r="A37" s="60" t="inlineStr">
        <is>
          <t>%I1.4</t>
        </is>
      </c>
      <c r="B37" s="60" t="inlineStr">
        <is>
          <t>Emergency</t>
        </is>
      </c>
      <c r="C37" s="54" t="inlineStr">
        <is>
          <t>E-stop input</t>
        </is>
      </c>
      <c r="D37" s="54" t="inlineStr">
        <is>
          <t>program text</t>
        </is>
      </c>
      <c r="E37" s="55" t="inlineStr">
        <is>
          <t>y.ESTOP_OK  (P.fault.estop)</t>
        </is>
      </c>
      <c r="F37" s="55" t="n"/>
    </row>
    <row r="38">
      <c r="A38" s="60" t="inlineStr">
        <is>
          <t>%IW64</t>
        </is>
      </c>
      <c r="B38" s="60" t="inlineStr">
        <is>
          <t>ktf_a10_raw</t>
        </is>
      </c>
      <c r="C38" s="54" t="inlineStr">
        <is>
          <t>0-10 bar transmitter, raw 2765..13520</t>
        </is>
      </c>
      <c r="D38" s="54" t="inlineStr">
        <is>
          <t>program text</t>
        </is>
      </c>
      <c r="E38" s="55" t="n"/>
      <c r="F38" s="55" t="n"/>
    </row>
    <row r="40">
      <c r="A40" s="57" t="inlineStr">
        <is>
          <t>WHAT THE PROGRAM DOES NOT SAY, and no ladder diagram ever will:</t>
        </is>
      </c>
    </row>
    <row r="41">
      <c r="A41" s="62" t="inlineStr">
        <is>
          <t xml:space="preserve">   - where a sensor is physically bolted</t>
        </is>
      </c>
    </row>
    <row r="42">
      <c r="A42" s="62" t="inlineStr">
        <is>
          <t xml:space="preserve">   - which barrel is "cylinder A" and which is "cylinder B"</t>
        </is>
      </c>
    </row>
    <row r="43">
      <c r="A43" s="62" t="inlineStr">
        <is>
          <t xml:space="preserve">   - what the three Pot_Control Conv1/2/3 position axes are attached to</t>
        </is>
      </c>
    </row>
    <row r="44">
      <c r="A44" s="57" t="inlineStr"/>
    </row>
    <row r="45">
      <c r="A45" s="57" t="inlineStr">
        <is>
          <t>TIMER PRESETS the program does state, for reference at the machine:</t>
        </is>
      </c>
    </row>
    <row r="46">
      <c r="A46" s="62" t="inlineStr">
        <is>
          <t xml:space="preserve">   T#10S cycle watchdog | T#12S cylinder watchdog | T#2S valve pulse</t>
        </is>
      </c>
    </row>
    <row r="47">
      <c r="A47" s="62" t="inlineStr">
        <is>
          <t xml:space="preserve">   T#5S outfeed | T#1S move-relative | t#400ms conveyor-2 end pulse</t>
        </is>
      </c>
    </row>
    <row r="48">
      <c r="A48" s="62" t="inlineStr">
        <is>
          <t xml:space="preserve">   Most are WATCHDOGS, not process times. A 12 s timer on a rod that</t>
        </is>
      </c>
    </row>
    <row r="49">
      <c r="A49" s="62" t="inlineStr">
        <is>
          <t xml:space="preserve">   strokes in under a second is a fault timer. They bound the real</t>
        </is>
      </c>
    </row>
    <row r="50">
      <c r="A50" s="62" t="inlineStr">
        <is>
          <t xml:space="preserve">   timings; they do not state them. The stopwatch is still the</t>
        </is>
      </c>
    </row>
    <row r="51">
      <c r="A51" s="62" t="inlineStr">
        <is>
          <t xml:space="preserve">   instrument for questions 3, 4 and 5 on the Input Register.</t>
        </is>
      </c>
    </row>
    <row r="52">
      <c r="A52" s="57" t="inlineStr"/>
    </row>
    <row r="53">
      <c r="A53" s="57" t="inlineStr">
        <is>
          <t>CAUTION on the decode: the PDF has no text layer and uses subset CID</t>
        </is>
      </c>
    </row>
    <row r="54">
      <c r="A54" s="57" t="inlineStr">
        <is>
          <t>fonts, so characters resolve through per-font ToUnicode maps and a</t>
        </is>
      </c>
    </row>
    <row r="55">
      <c r="A55" s="57" t="inlineStr">
        <is>
          <t>wrong character is possible in principle. Every address above is given</t>
        </is>
      </c>
    </row>
    <row r="56">
      <c r="A56" s="57" t="inlineStr">
        <is>
          <t>identically by two independent networks, which is the check.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9"/>
  <sheetViews>
    <sheetView workbookViewId="0">
      <pane ySplit="4" topLeftCell="A5" activePane="bottomLeft" state="frozen"/>
      <selection pane="bottomLeft" activeCell="A1" sqref="A1"/>
    </sheetView>
  </sheetViews>
  <sheetFormatPr baseColWidth="8" defaultRowHeight="14.4"/>
  <cols>
    <col width="8" customWidth="1" style="43" min="1" max="1"/>
    <col width="34" customWidth="1" style="43" min="2" max="2"/>
    <col width="22" customWidth="1" style="43" min="3" max="3"/>
    <col width="24" customWidth="1" style="43" min="4" max="4"/>
    <col width="20" customWidth="1" style="43" min="5" max="5"/>
    <col width="46" customWidth="1" style="43" min="6" max="6"/>
    <col width="10" customWidth="1" style="43" min="7" max="7"/>
  </cols>
  <sheetData>
    <row r="1" ht="16.8" customHeight="1" s="43">
      <c r="A1" s="5" t="inlineStr">
        <is>
          <t>SEQUENCE STEPS MAPPED TO GOVERNING EQUATIONS</t>
        </is>
      </c>
    </row>
    <row r="2" ht="28.05" customHeight="1" s="43">
      <c r="A2" s="19" t="inlineStr">
        <is>
          <t>Fills the "Governing Physics Equation" column that Sequence.xlsx leaves empty. Guard = the physical condition that must become TRUE to advance. Rows shaded amber are engineering additions not present in Sequence.xlsx.</t>
        </is>
      </c>
    </row>
    <row r="4" ht="27.6" customHeight="1" s="43">
      <c r="A4" s="7" t="inlineStr">
        <is>
          <t>Excel step</t>
        </is>
      </c>
      <c r="B4" s="7" t="inlineStr">
        <is>
          <t>Component / Action Flow</t>
        </is>
      </c>
      <c r="C4" s="7" t="inlineStr">
        <is>
          <t>Resulting Action</t>
        </is>
      </c>
      <c r="D4" s="7" t="inlineStr">
        <is>
          <t>Model state</t>
        </is>
      </c>
      <c r="E4" s="7" t="inlineStr">
        <is>
          <t>Guard</t>
        </is>
      </c>
      <c r="F4" s="7" t="inlineStr">
        <is>
          <t>Governing equations</t>
        </is>
      </c>
      <c r="G4" s="7" t="inlineStr">
        <is>
          <t>Type</t>
        </is>
      </c>
    </row>
    <row r="5">
      <c r="A5" s="25" t="inlineStr">
        <is>
          <t>-</t>
        </is>
      </c>
      <c r="B5" s="26" t="inlineStr">
        <is>
          <t>(initialise)</t>
        </is>
      </c>
      <c r="C5" s="26" t="inlineStr">
        <is>
          <t>All outputs de-energised</t>
        </is>
      </c>
      <c r="D5" s="25" t="inlineStr">
        <is>
          <t>S00_INIT</t>
        </is>
      </c>
      <c r="E5" s="25" t="inlineStr">
        <is>
          <t>immediate</t>
        </is>
      </c>
      <c r="F5" s="26" t="inlineStr">
        <is>
          <t>-</t>
        </is>
      </c>
      <c r="G5" s="25" t="inlineStr">
        <is>
          <t>ADDED</t>
        </is>
      </c>
    </row>
    <row r="6">
      <c r="A6" s="10" t="inlineStr">
        <is>
          <t>1</t>
        </is>
      </c>
      <c r="B6" s="15" t="inlineStr">
        <is>
          <t>Camera -&gt; PLC</t>
        </is>
      </c>
      <c r="C6" s="15" t="inlineStr">
        <is>
          <t>Initial Trigger</t>
        </is>
      </c>
      <c r="D6" s="10" t="inlineStr">
        <is>
          <t>S01_CAMERA_DETECT</t>
        </is>
      </c>
      <c r="E6" s="10" t="inlineStr">
        <is>
          <t>CAM</t>
        </is>
      </c>
      <c r="F6" s="15" t="inlineStr">
        <is>
          <t>E14 camera detect</t>
        </is>
      </c>
      <c r="G6" s="10" t="inlineStr">
        <is>
          <t>SRC</t>
        </is>
      </c>
    </row>
    <row r="7">
      <c r="A7" s="10" t="inlineStr">
        <is>
          <t>2</t>
        </is>
      </c>
      <c r="B7" s="15" t="inlineStr">
        <is>
          <t>PLC -&gt; Pump</t>
        </is>
      </c>
      <c r="C7" s="15" t="n"/>
      <c r="D7" s="10" t="inlineStr">
        <is>
          <t>S02_PUMP_CMD</t>
        </is>
      </c>
      <c r="E7" s="10" t="inlineStr">
        <is>
          <t>immediate</t>
        </is>
      </c>
      <c r="F7" s="15" t="inlineStr">
        <is>
          <t>E17 pressure switch hysteresis</t>
        </is>
      </c>
      <c r="G7" s="10" t="inlineStr">
        <is>
          <t>SRC</t>
        </is>
      </c>
    </row>
    <row r="8" ht="26.4" customHeight="1" s="43">
      <c r="A8" s="10" t="inlineStr">
        <is>
          <t>3</t>
        </is>
      </c>
      <c r="B8" s="15" t="inlineStr">
        <is>
          <t>Pump -&gt; Distribution Valve</t>
        </is>
      </c>
      <c r="C8" s="15" t="inlineStr">
        <is>
          <t>Pressure Preparation</t>
        </is>
      </c>
      <c r="D8" s="10" t="inlineStr">
        <is>
          <t>S03_PRESSURE_PREP</t>
        </is>
      </c>
      <c r="E8" s="10" t="inlineStr">
        <is>
          <t>P_READY</t>
        </is>
      </c>
      <c r="F8" s="15" t="inlineStr">
        <is>
          <t>E2 receiver pressure; E17 pressure switch; E19 safety relief</t>
        </is>
      </c>
      <c r="G8" s="10" t="inlineStr">
        <is>
          <t>SRC</t>
        </is>
      </c>
    </row>
    <row r="9">
      <c r="A9" s="10" t="inlineStr">
        <is>
          <t>4</t>
        </is>
      </c>
      <c r="B9" s="15" t="inlineStr">
        <is>
          <t>Distribution Valve -&gt; PLC</t>
        </is>
      </c>
      <c r="C9" s="15" t="inlineStr">
        <is>
          <t>Readiness Signal</t>
        </is>
      </c>
      <c r="D9" s="10" t="inlineStr">
        <is>
          <t>S04_DV_READY</t>
        </is>
      </c>
      <c r="E9" s="10" t="inlineStr">
        <is>
          <t>immediate</t>
        </is>
      </c>
      <c r="F9" s="15" t="inlineStr">
        <is>
          <t>-</t>
        </is>
      </c>
      <c r="G9" s="10" t="inlineStr">
        <is>
          <t>SRC</t>
        </is>
      </c>
    </row>
    <row r="10" ht="26.4" customHeight="1" s="43">
      <c r="A10" s="10" t="inlineStr">
        <is>
          <t>5,6</t>
        </is>
      </c>
      <c r="B10" s="15" t="inlineStr">
        <is>
          <t>PLC -&gt; DV -&gt; Feeder station valve</t>
        </is>
      </c>
      <c r="C10" s="15" t="inlineStr">
        <is>
          <t>Control Signal</t>
        </is>
      </c>
      <c r="D10" s="10" t="inlineStr">
        <is>
          <t>S05_DV_SEL_FEEDER</t>
        </is>
      </c>
      <c r="E10" s="10" t="inlineStr">
        <is>
          <t>BR_RDY(1) &amp; CHG(1)</t>
        </is>
      </c>
      <c r="F10" s="15" t="inlineStr">
        <is>
          <t>E1 ISO 6358 flow; E2 branch pressure; E3 regulator; E18 spool</t>
        </is>
      </c>
      <c r="G10" s="10" t="inlineStr">
        <is>
          <t>SRC</t>
        </is>
      </c>
    </row>
    <row r="11" ht="26.4" customHeight="1" s="43">
      <c r="A11" s="10" t="inlineStr">
        <is>
          <t>7,8</t>
        </is>
      </c>
      <c r="B11" s="15" t="inlineStr">
        <is>
          <t>Feeder Station Valve -&gt; Actuator -&gt; Block</t>
        </is>
      </c>
      <c r="C11" s="15" t="inlineStr">
        <is>
          <t>Pushes Block on conveyor</t>
        </is>
      </c>
      <c r="D11" s="10" t="inlineStr">
        <is>
          <t>S06_A1_EXTEND</t>
        </is>
      </c>
      <c r="E11" s="10" t="inlineStr">
        <is>
          <t>EXT(1)</t>
        </is>
      </c>
      <c r="F11" s="15" t="inlineStr">
        <is>
          <t>E1 flow; E4 chamber; E5 piston; E6 friction; E8 rod/block contact; E15 reed switch; E18 spool</t>
        </is>
      </c>
      <c r="G11" s="10" t="inlineStr">
        <is>
          <t>SRC</t>
        </is>
      </c>
    </row>
    <row r="12" ht="26.4" customHeight="1" s="43">
      <c r="A12" s="10" t="inlineStr">
        <is>
          <t>9</t>
        </is>
      </c>
      <c r="B12" s="15" t="inlineStr">
        <is>
          <t>Proximity sensor -&gt; PLC</t>
        </is>
      </c>
      <c r="C12" s="15" t="inlineStr">
        <is>
          <t>Position Detection</t>
        </is>
      </c>
      <c r="D12" s="10" t="inlineStr">
        <is>
          <t>S07_PROX1_CHECK</t>
        </is>
      </c>
      <c r="E12" s="10" t="inlineStr">
        <is>
          <t>PX(1)</t>
        </is>
      </c>
      <c r="F12" s="15" t="inlineStr">
        <is>
          <t>E11 workpiece dynamics; E12 support friction; E14 proximity</t>
        </is>
      </c>
      <c r="G12" s="10" t="inlineStr">
        <is>
          <t>SRC</t>
        </is>
      </c>
    </row>
    <row r="13">
      <c r="A13" s="25" t="inlineStr">
        <is>
          <t>8i</t>
        </is>
      </c>
      <c r="B13" s="26" t="inlineStr">
        <is>
          <t>(added) Actuator retract</t>
        </is>
      </c>
      <c r="C13" s="26" t="inlineStr">
        <is>
          <t>Clears the transport path</t>
        </is>
      </c>
      <c r="D13" s="25" t="inlineStr">
        <is>
          <t>S08_A1_RETRACT</t>
        </is>
      </c>
      <c r="E13" s="25" t="inlineStr">
        <is>
          <t>RET(1)</t>
        </is>
      </c>
      <c r="F13" s="26" t="inlineStr">
        <is>
          <t>E1; E4; E5; E6; E15</t>
        </is>
      </c>
      <c r="G13" s="25" t="inlineStr">
        <is>
          <t>ADDED</t>
        </is>
      </c>
    </row>
    <row r="14">
      <c r="A14" s="10" t="inlineStr">
        <is>
          <t>10</t>
        </is>
      </c>
      <c r="B14" s="15" t="inlineStr">
        <is>
          <t>PLC -&gt; Conveyor</t>
        </is>
      </c>
      <c r="C14" s="15" t="inlineStr">
        <is>
          <t>Conveyor Start</t>
        </is>
      </c>
      <c r="D14" s="10" t="inlineStr">
        <is>
          <t>S09_CONV1_START</t>
        </is>
      </c>
      <c r="E14" s="10" t="inlineStr">
        <is>
          <t>immediate</t>
        </is>
      </c>
      <c r="F14" s="15" t="inlineStr">
        <is>
          <t>E9 drivetrain; E10 PI speed loop with ramp limit</t>
        </is>
      </c>
      <c r="G14" s="10" t="inlineStr">
        <is>
          <t>SRC</t>
        </is>
      </c>
    </row>
    <row r="15">
      <c r="A15" s="10" t="inlineStr">
        <is>
          <t>11</t>
        </is>
      </c>
      <c r="B15" s="15" t="inlineStr">
        <is>
          <t>Proximity sensor -&gt; PLC</t>
        </is>
      </c>
      <c r="C15" s="15" t="inlineStr">
        <is>
          <t>Position Detection</t>
        </is>
      </c>
      <c r="D15" s="10" t="inlineStr">
        <is>
          <t>S10_PROX2_CHECK</t>
        </is>
      </c>
      <c r="E15" s="10" t="inlineStr">
        <is>
          <t>PX(2)</t>
        </is>
      </c>
      <c r="F15" s="15" t="inlineStr">
        <is>
          <t>E11; E12; E14</t>
        </is>
      </c>
      <c r="G15" s="10" t="inlineStr">
        <is>
          <t>SRC</t>
        </is>
      </c>
    </row>
    <row r="16">
      <c r="A16" s="10" t="inlineStr">
        <is>
          <t>12</t>
        </is>
      </c>
      <c r="B16" s="15" t="inlineStr">
        <is>
          <t>PLC -&gt; Conveyor</t>
        </is>
      </c>
      <c r="C16" s="15" t="inlineStr">
        <is>
          <t>Conveyor Stop</t>
        </is>
      </c>
      <c r="D16" s="10" t="inlineStr">
        <is>
          <t>S11_CONV1_STOP</t>
        </is>
      </c>
      <c r="E16" s="10" t="inlineStr">
        <is>
          <t>immediate</t>
        </is>
      </c>
      <c r="F16" s="15" t="inlineStr">
        <is>
          <t>E9; E10</t>
        </is>
      </c>
      <c r="G16" s="10" t="inlineStr">
        <is>
          <t>SRC</t>
        </is>
      </c>
    </row>
    <row r="17">
      <c r="A17" s="10" t="inlineStr">
        <is>
          <t>13,14</t>
        </is>
      </c>
      <c r="B17" s="15" t="inlineStr">
        <is>
          <t>PLC -&gt; DV -&gt; Feeder station valve</t>
        </is>
      </c>
      <c r="C17" s="15" t="inlineStr">
        <is>
          <t>Control Signal</t>
        </is>
      </c>
      <c r="D17" s="10" t="inlineStr">
        <is>
          <t>S12_DV_SEL_FEEDER2</t>
        </is>
      </c>
      <c r="E17" s="10" t="inlineStr">
        <is>
          <t>BR_RDY(1) &amp; CHG(2)</t>
        </is>
      </c>
      <c r="F17" s="15" t="inlineStr">
        <is>
          <t>E1; E2; E3; E18</t>
        </is>
      </c>
      <c r="G17" s="10" t="inlineStr">
        <is>
          <t>SRC</t>
        </is>
      </c>
    </row>
    <row r="18" ht="26.4" customHeight="1" s="43">
      <c r="A18" s="10" t="inlineStr">
        <is>
          <t>15,16</t>
        </is>
      </c>
      <c r="B18" s="15" t="inlineStr">
        <is>
          <t>Feeder station valve -&gt; Actuator -&gt; Block</t>
        </is>
      </c>
      <c r="C18" s="15" t="inlineStr">
        <is>
          <t>Pushes Block on conveyor</t>
        </is>
      </c>
      <c r="D18" s="10" t="inlineStr">
        <is>
          <t>S13_A6_EXTEND</t>
        </is>
      </c>
      <c r="E18" s="10" t="inlineStr">
        <is>
          <t>EXT(2)</t>
        </is>
      </c>
      <c r="F18" s="15" t="inlineStr">
        <is>
          <t>E1; E4; E5; E6; E8; E15; E18</t>
        </is>
      </c>
      <c r="G18" s="10" t="inlineStr">
        <is>
          <t>SRC</t>
        </is>
      </c>
    </row>
    <row r="19">
      <c r="A19" s="25" t="inlineStr">
        <is>
          <t>16i</t>
        </is>
      </c>
      <c r="B19" s="26" t="inlineStr">
        <is>
          <t>(added) Actuator retract</t>
        </is>
      </c>
      <c r="C19" s="26" t="inlineStr">
        <is>
          <t>Clears the transport path</t>
        </is>
      </c>
      <c r="D19" s="25" t="inlineStr">
        <is>
          <t>S14_A6_RETRACT</t>
        </is>
      </c>
      <c r="E19" s="25" t="inlineStr">
        <is>
          <t>RET(2)</t>
        </is>
      </c>
      <c r="F19" s="26" t="inlineStr">
        <is>
          <t>E1; E4; E5; E6; E15</t>
        </is>
      </c>
      <c r="G19" s="25" t="inlineStr">
        <is>
          <t>ADDED</t>
        </is>
      </c>
    </row>
    <row r="20">
      <c r="A20" s="10" t="inlineStr">
        <is>
          <t>17</t>
        </is>
      </c>
      <c r="B20" s="15" t="inlineStr">
        <is>
          <t>PLC -&gt; Conveyor</t>
        </is>
      </c>
      <c r="C20" s="15" t="inlineStr">
        <is>
          <t>Conveyor Start</t>
        </is>
      </c>
      <c r="D20" s="10" t="inlineStr">
        <is>
          <t>S15_CONV2_START</t>
        </is>
      </c>
      <c r="E20" s="10" t="inlineStr">
        <is>
          <t>immediate</t>
        </is>
      </c>
      <c r="F20" s="15" t="inlineStr">
        <is>
          <t>E9; E10</t>
        </is>
      </c>
      <c r="G20" s="10" t="inlineStr">
        <is>
          <t>SRC</t>
        </is>
      </c>
    </row>
    <row r="21">
      <c r="A21" s="10" t="inlineStr">
        <is>
          <t>18</t>
        </is>
      </c>
      <c r="B21" s="15" t="inlineStr">
        <is>
          <t>Proximity sensor -&gt; PLC</t>
        </is>
      </c>
      <c r="C21" s="15" t="inlineStr">
        <is>
          <t>Position Detection</t>
        </is>
      </c>
      <c r="D21" s="10" t="inlineStr">
        <is>
          <t>S16_PROX3_CHECK</t>
        </is>
      </c>
      <c r="E21" s="10" t="inlineStr">
        <is>
          <t>PX(3)</t>
        </is>
      </c>
      <c r="F21" s="15" t="inlineStr">
        <is>
          <t>E11; E12; E14</t>
        </is>
      </c>
      <c r="G21" s="10" t="inlineStr">
        <is>
          <t>SRC</t>
        </is>
      </c>
    </row>
    <row r="22">
      <c r="A22" s="10" t="inlineStr">
        <is>
          <t>19</t>
        </is>
      </c>
      <c r="B22" s="15" t="inlineStr">
        <is>
          <t>PLC -&gt; Conveyor</t>
        </is>
      </c>
      <c r="C22" s="15" t="inlineStr">
        <is>
          <t>Conveyor Stop</t>
        </is>
      </c>
      <c r="D22" s="10" t="inlineStr">
        <is>
          <t>S17_CONV2_STOP</t>
        </is>
      </c>
      <c r="E22" s="10" t="inlineStr">
        <is>
          <t>immediate</t>
        </is>
      </c>
      <c r="F22" s="15" t="inlineStr">
        <is>
          <t>E9; E10</t>
        </is>
      </c>
      <c r="G22" s="10" t="inlineStr">
        <is>
          <t>SRC</t>
        </is>
      </c>
    </row>
    <row r="23">
      <c r="A23" s="10" t="inlineStr">
        <is>
          <t>20,21</t>
        </is>
      </c>
      <c r="B23" s="15" t="inlineStr">
        <is>
          <t>PLC -&gt; DV -&gt; Second station valve</t>
        </is>
      </c>
      <c r="C23" s="15" t="inlineStr">
        <is>
          <t>Control Signal</t>
        </is>
      </c>
      <c r="D23" s="10" t="inlineStr">
        <is>
          <t>S18_DV_SEL_SECOND</t>
        </is>
      </c>
      <c r="E23" s="10" t="inlineStr">
        <is>
          <t>BR_RDY(2) &amp; CHG(3)</t>
        </is>
      </c>
      <c r="F23" s="15" t="inlineStr">
        <is>
          <t>E1; E2; E3; E18</t>
        </is>
      </c>
      <c r="G23" s="10" t="inlineStr">
        <is>
          <t>SRC</t>
        </is>
      </c>
    </row>
    <row r="24" ht="26.4" customHeight="1" s="43">
      <c r="A24" s="10" t="inlineStr">
        <is>
          <t>22,23</t>
        </is>
      </c>
      <c r="B24" s="15" t="inlineStr">
        <is>
          <t>Second station valve -&gt; Actuator -&gt; Block</t>
        </is>
      </c>
      <c r="C24" s="15" t="inlineStr">
        <is>
          <t>Pushes Block on Engraving base</t>
        </is>
      </c>
      <c r="D24" s="10" t="inlineStr">
        <is>
          <t>S19_S2A1_EXTEND</t>
        </is>
      </c>
      <c r="E24" s="10" t="inlineStr">
        <is>
          <t>EXT(3)</t>
        </is>
      </c>
      <c r="F24" s="15" t="inlineStr">
        <is>
          <t>E1; E4; E5; E6; E8; E15; E18</t>
        </is>
      </c>
      <c r="G24" s="10" t="inlineStr">
        <is>
          <t>SRC</t>
        </is>
      </c>
    </row>
    <row r="25">
      <c r="A25" s="10" t="inlineStr">
        <is>
          <t>24</t>
        </is>
      </c>
      <c r="B25" s="15" t="inlineStr">
        <is>
          <t>Actuator -&gt; PLC</t>
        </is>
      </c>
      <c r="C25" s="15" t="inlineStr">
        <is>
          <t>Status Feedback</t>
        </is>
      </c>
      <c r="D25" s="10" t="inlineStr">
        <is>
          <t>S20_S2A1_FEEDBACK</t>
        </is>
      </c>
      <c r="E25" s="10" t="inlineStr">
        <is>
          <t>immediate</t>
        </is>
      </c>
      <c r="F25" s="15" t="inlineStr">
        <is>
          <t>E15 reed switch</t>
        </is>
      </c>
      <c r="G25" s="10" t="inlineStr">
        <is>
          <t>SRC</t>
        </is>
      </c>
    </row>
    <row r="26" ht="26.4" customHeight="1" s="43">
      <c r="A26" s="25" t="inlineStr">
        <is>
          <t>24i</t>
        </is>
      </c>
      <c r="B26" s="26" t="inlineStr">
        <is>
          <t>(added) Actuator retract</t>
        </is>
      </c>
      <c r="C26" s="26" t="inlineStr">
        <is>
          <t>Clears the engraving base</t>
        </is>
      </c>
      <c r="D26" s="25" t="inlineStr">
        <is>
          <t>S21_S2A1_RETRACT</t>
        </is>
      </c>
      <c r="E26" s="25" t="inlineStr">
        <is>
          <t>RET(3)</t>
        </is>
      </c>
      <c r="F26" s="26" t="inlineStr">
        <is>
          <t>E1; E4; E5; E6; E15</t>
        </is>
      </c>
      <c r="G26" s="25" t="inlineStr">
        <is>
          <t>ADDED</t>
        </is>
      </c>
    </row>
    <row r="27">
      <c r="A27" s="10" t="inlineStr">
        <is>
          <t>25</t>
        </is>
      </c>
      <c r="B27" s="15" t="inlineStr">
        <is>
          <t>PLC -&gt; Engraving Base</t>
        </is>
      </c>
      <c r="C27" s="15" t="inlineStr">
        <is>
          <t>Engraving Base up</t>
        </is>
      </c>
      <c r="D27" s="10" t="inlineStr">
        <is>
          <t>S22_BASE_UP</t>
        </is>
      </c>
      <c r="E27" s="10" t="inlineStr">
        <is>
          <t>immediate</t>
        </is>
      </c>
      <c r="F27" s="15" t="inlineStr">
        <is>
          <t>E13 axis PID with force and speed limits</t>
        </is>
      </c>
      <c r="G27" s="10" t="inlineStr">
        <is>
          <t>SRC</t>
        </is>
      </c>
    </row>
    <row r="28">
      <c r="A28" s="10" t="inlineStr">
        <is>
          <t>26</t>
        </is>
      </c>
      <c r="B28" s="15" t="inlineStr">
        <is>
          <t>Height sensor -&gt; PLC</t>
        </is>
      </c>
      <c r="C28" s="15" t="inlineStr">
        <is>
          <t>Vertical Verification</t>
        </is>
      </c>
      <c r="D28" s="10" t="inlineStr">
        <is>
          <t>S23_HEIGHT_TOP</t>
        </is>
      </c>
      <c r="E28" s="10" t="inlineStr">
        <is>
          <t>HS_TOP</t>
        </is>
      </c>
      <c r="F28" s="15" t="inlineStr">
        <is>
          <t>E13; E16 height comparator</t>
        </is>
      </c>
      <c r="G28" s="10" t="inlineStr">
        <is>
          <t>SRC</t>
        </is>
      </c>
    </row>
    <row r="29" ht="26.4" customHeight="1" s="43">
      <c r="A29" s="10" t="inlineStr">
        <is>
          <t>27</t>
        </is>
      </c>
      <c r="B29" s="15" t="inlineStr">
        <is>
          <t>PLC -&gt; Interface</t>
        </is>
      </c>
      <c r="C29" s="15" t="inlineStr">
        <is>
          <t>Operator Notification</t>
        </is>
      </c>
      <c r="D29" s="10" t="inlineStr">
        <is>
          <t>S24_OPERATOR_NOTIFY</t>
        </is>
      </c>
      <c r="E29" s="11" t="inlineStr">
        <is>
          <t>TIMER</t>
        </is>
      </c>
      <c r="F29" s="12" t="inlineStr">
        <is>
          <t>E20 operator timing - PLACEHOLDER, not physics</t>
        </is>
      </c>
      <c r="G29" s="10" t="inlineStr">
        <is>
          <t>SRC</t>
        </is>
      </c>
    </row>
    <row r="30" ht="26.4" customHeight="1" s="43">
      <c r="A30" s="10" t="inlineStr">
        <is>
          <t>28</t>
        </is>
      </c>
      <c r="B30" s="15" t="inlineStr">
        <is>
          <t>Manual Input</t>
        </is>
      </c>
      <c r="C30" s="15" t="inlineStr">
        <is>
          <t>Manually begin engraving</t>
        </is>
      </c>
      <c r="D30" s="10" t="inlineStr">
        <is>
          <t>S25_ENGRAVE_MANUAL</t>
        </is>
      </c>
      <c r="E30" s="11" t="inlineStr">
        <is>
          <t>TIMER</t>
        </is>
      </c>
      <c r="F30" s="12" t="inlineStr">
        <is>
          <t>E20 operator timing - PLACEHOLDER, not physics</t>
        </is>
      </c>
      <c r="G30" s="10" t="inlineStr">
        <is>
          <t>SRC</t>
        </is>
      </c>
    </row>
    <row r="31" ht="26.4" customHeight="1" s="43">
      <c r="A31" s="10" t="inlineStr">
        <is>
          <t>29</t>
        </is>
      </c>
      <c r="B31" s="15" t="inlineStr">
        <is>
          <t>Manual Input</t>
        </is>
      </c>
      <c r="C31" s="15" t="inlineStr">
        <is>
          <t>Manually finish task on interface</t>
        </is>
      </c>
      <c r="D31" s="10" t="inlineStr">
        <is>
          <t>S26_ENGRAVE_CONFIRM</t>
        </is>
      </c>
      <c r="E31" s="11" t="inlineStr">
        <is>
          <t>TIMER</t>
        </is>
      </c>
      <c r="F31" s="12" t="inlineStr">
        <is>
          <t>E20 operator timing - PLACEHOLDER, not physics</t>
        </is>
      </c>
      <c r="G31" s="10" t="inlineStr">
        <is>
          <t>SRC</t>
        </is>
      </c>
    </row>
    <row r="32">
      <c r="A32" s="25" t="inlineStr">
        <is>
          <t>30i</t>
        </is>
      </c>
      <c r="B32" s="26" t="inlineStr">
        <is>
          <t>(added) Engraving base down</t>
        </is>
      </c>
      <c r="C32" s="26" t="inlineStr">
        <is>
          <t>Returns the base to home</t>
        </is>
      </c>
      <c r="D32" s="25" t="inlineStr">
        <is>
          <t>S27_BASE_DOWN</t>
        </is>
      </c>
      <c r="E32" s="25" t="inlineStr">
        <is>
          <t>immediate</t>
        </is>
      </c>
      <c r="F32" s="26" t="inlineStr">
        <is>
          <t>E13</t>
        </is>
      </c>
      <c r="G32" s="25" t="inlineStr">
        <is>
          <t>ADDED</t>
        </is>
      </c>
    </row>
    <row r="33">
      <c r="A33" s="10" t="inlineStr">
        <is>
          <t>30</t>
        </is>
      </c>
      <c r="B33" s="15" t="inlineStr">
        <is>
          <t>Height sensor -&gt; PLC</t>
        </is>
      </c>
      <c r="C33" s="15" t="inlineStr">
        <is>
          <t>Bottom verification</t>
        </is>
      </c>
      <c r="D33" s="10" t="inlineStr">
        <is>
          <t>S28_HEIGHT_BOTTOM</t>
        </is>
      </c>
      <c r="E33" s="10" t="inlineStr">
        <is>
          <t>HS_BOT</t>
        </is>
      </c>
      <c r="F33" s="15" t="inlineStr">
        <is>
          <t>E13; E16</t>
        </is>
      </c>
      <c r="G33" s="10" t="inlineStr">
        <is>
          <t>SRC</t>
        </is>
      </c>
    </row>
    <row r="34">
      <c r="A34" s="10" t="inlineStr">
        <is>
          <t>31,32</t>
        </is>
      </c>
      <c r="B34" s="15" t="inlineStr">
        <is>
          <t>PLC -&gt; DV -&gt; Third station valve</t>
        </is>
      </c>
      <c r="C34" s="15" t="inlineStr">
        <is>
          <t>Control Signal</t>
        </is>
      </c>
      <c r="D34" s="10" t="inlineStr">
        <is>
          <t>S29_DV_SEL_THIRD</t>
        </is>
      </c>
      <c r="E34" s="10" t="inlineStr">
        <is>
          <t>BR_RDY(3) &amp; CHG(4)</t>
        </is>
      </c>
      <c r="F34" s="15" t="inlineStr">
        <is>
          <t>E1; E2; E3; E18</t>
        </is>
      </c>
      <c r="G34" s="10" t="inlineStr">
        <is>
          <t>SRC</t>
        </is>
      </c>
    </row>
    <row r="35" ht="26.4" customHeight="1" s="43">
      <c r="A35" s="10" t="inlineStr">
        <is>
          <t>33,34</t>
        </is>
      </c>
      <c r="B35" s="15" t="inlineStr">
        <is>
          <t>Third Station Valve -&gt; Actuator -&gt; Block</t>
        </is>
      </c>
      <c r="C35" s="15" t="inlineStr">
        <is>
          <t>Pushes Block onto station 3 belt</t>
        </is>
      </c>
      <c r="D35" s="10" t="inlineStr">
        <is>
          <t>S30_S3A1_EXTEND</t>
        </is>
      </c>
      <c r="E35" s="10" t="inlineStr">
        <is>
          <t>EXT(4)</t>
        </is>
      </c>
      <c r="F35" s="15" t="inlineStr">
        <is>
          <t>E1; E4; E5; E6; E8; E15; E18</t>
        </is>
      </c>
      <c r="G35" s="10" t="inlineStr">
        <is>
          <t>SRC</t>
        </is>
      </c>
    </row>
    <row r="36">
      <c r="A36" s="10" t="inlineStr">
        <is>
          <t>35</t>
        </is>
      </c>
      <c r="B36" s="15" t="inlineStr">
        <is>
          <t>Actuator -&gt; PLC</t>
        </is>
      </c>
      <c r="C36" s="15" t="inlineStr">
        <is>
          <t>Status Feedback</t>
        </is>
      </c>
      <c r="D36" s="10" t="inlineStr">
        <is>
          <t>S31_S3A1_FEEDBACK</t>
        </is>
      </c>
      <c r="E36" s="10" t="inlineStr">
        <is>
          <t>immediate</t>
        </is>
      </c>
      <c r="F36" s="15" t="inlineStr">
        <is>
          <t>E15</t>
        </is>
      </c>
      <c r="G36" s="10" t="inlineStr">
        <is>
          <t>SRC</t>
        </is>
      </c>
    </row>
    <row r="37">
      <c r="A37" s="25" t="inlineStr">
        <is>
          <t>35i</t>
        </is>
      </c>
      <c r="B37" s="26" t="inlineStr">
        <is>
          <t>(added) Actuator retract</t>
        </is>
      </c>
      <c r="C37" s="26" t="inlineStr">
        <is>
          <t>Clears the transport path</t>
        </is>
      </c>
      <c r="D37" s="25" t="inlineStr">
        <is>
          <t>S32_S3A1_RETRACT</t>
        </is>
      </c>
      <c r="E37" s="25" t="inlineStr">
        <is>
          <t>RET(4)</t>
        </is>
      </c>
      <c r="F37" s="26" t="inlineStr">
        <is>
          <t>E1; E4; E5; E6; E15</t>
        </is>
      </c>
      <c r="G37" s="25" t="inlineStr">
        <is>
          <t>ADDED</t>
        </is>
      </c>
    </row>
    <row r="38" ht="39.6" customHeight="1" s="43">
      <c r="A38" s="27" t="inlineStr">
        <is>
          <t>36*</t>
        </is>
      </c>
      <c r="B38" s="28" t="inlineStr">
        <is>
          <t>PLC -&gt; Conveyor</t>
        </is>
      </c>
      <c r="C38" s="28" t="inlineStr">
        <is>
          <t>ANOMALY: Excel reads "Conveyor Stop", implemented as START</t>
        </is>
      </c>
      <c r="D38" s="27" t="inlineStr">
        <is>
          <t>S33_CONV3_START</t>
        </is>
      </c>
      <c r="E38" s="27" t="inlineStr">
        <is>
          <t>immediate</t>
        </is>
      </c>
      <c r="F38" s="28" t="inlineStr">
        <is>
          <t>E9; E10</t>
        </is>
      </c>
      <c r="G38" s="27" t="inlineStr">
        <is>
          <t>ANOMALY</t>
        </is>
      </c>
    </row>
    <row r="39">
      <c r="A39" s="10" t="inlineStr">
        <is>
          <t>37</t>
        </is>
      </c>
      <c r="B39" s="15" t="inlineStr">
        <is>
          <t>Proximity sensor -&gt; PLC</t>
        </is>
      </c>
      <c r="C39" s="15" t="inlineStr">
        <is>
          <t>Final Position Check</t>
        </is>
      </c>
      <c r="D39" s="10" t="inlineStr">
        <is>
          <t>S34_PROX4_FINAL</t>
        </is>
      </c>
      <c r="E39" s="10" t="inlineStr">
        <is>
          <t>PX(4)</t>
        </is>
      </c>
      <c r="F39" s="15" t="inlineStr">
        <is>
          <t>E11; E12; E14</t>
        </is>
      </c>
      <c r="G39" s="10" t="inlineStr">
        <is>
          <t>SRC</t>
        </is>
      </c>
    </row>
    <row r="40">
      <c r="A40" s="10" t="inlineStr">
        <is>
          <t>38</t>
        </is>
      </c>
      <c r="B40" s="15" t="inlineStr">
        <is>
          <t>PLC -&gt; Conveyor</t>
        </is>
      </c>
      <c r="C40" s="15" t="inlineStr">
        <is>
          <t>Conveyor Stop</t>
        </is>
      </c>
      <c r="D40" s="10" t="inlineStr">
        <is>
          <t>S35_CONV3_STOP</t>
        </is>
      </c>
      <c r="E40" s="10" t="inlineStr">
        <is>
          <t>immediate</t>
        </is>
      </c>
      <c r="F40" s="15" t="inlineStr">
        <is>
          <t>E9; E10</t>
        </is>
      </c>
      <c r="G40" s="10" t="inlineStr">
        <is>
          <t>SRC</t>
        </is>
      </c>
    </row>
    <row r="41">
      <c r="A41" s="10" t="inlineStr">
        <is>
          <t>39,40</t>
        </is>
      </c>
      <c r="B41" s="15" t="inlineStr">
        <is>
          <t>PLC -&gt; DV -&gt; Fourth station valve</t>
        </is>
      </c>
      <c r="C41" s="15" t="inlineStr">
        <is>
          <t>Control Signal</t>
        </is>
      </c>
      <c r="D41" s="10" t="inlineStr">
        <is>
          <t>S36_DV_SEL_FOURTH</t>
        </is>
      </c>
      <c r="E41" s="10" t="inlineStr">
        <is>
          <t>BR_RDY(4) &amp; CHG(5)</t>
        </is>
      </c>
      <c r="F41" s="15" t="inlineStr">
        <is>
          <t>E1; E2; E3; E18</t>
        </is>
      </c>
      <c r="G41" s="10" t="inlineStr">
        <is>
          <t>SRC</t>
        </is>
      </c>
    </row>
    <row r="42" ht="26.4" customHeight="1" s="43">
      <c r="A42" s="10" t="inlineStr">
        <is>
          <t>41,42</t>
        </is>
      </c>
      <c r="B42" s="15" t="inlineStr">
        <is>
          <t>Fourth Station Valve -&gt; Actuator -&gt; Block</t>
        </is>
      </c>
      <c r="C42" s="15" t="inlineStr">
        <is>
          <t>Pushes Block in Bin</t>
        </is>
      </c>
      <c r="D42" s="10" t="inlineStr">
        <is>
          <t>S37_S3A2_EXTEND</t>
        </is>
      </c>
      <c r="E42" s="10" t="inlineStr">
        <is>
          <t>EXT(5)</t>
        </is>
      </c>
      <c r="F42" s="15" t="inlineStr">
        <is>
          <t>E1; E4; E5; E6; E8; E15; E18</t>
        </is>
      </c>
      <c r="G42" s="10" t="inlineStr">
        <is>
          <t>SRC</t>
        </is>
      </c>
    </row>
    <row r="43">
      <c r="A43" s="25" t="inlineStr">
        <is>
          <t>42i</t>
        </is>
      </c>
      <c r="B43" s="26" t="inlineStr">
        <is>
          <t>(added) Actuator retract</t>
        </is>
      </c>
      <c r="C43" s="26" t="inlineStr">
        <is>
          <t>Returns the ejector</t>
        </is>
      </c>
      <c r="D43" s="25" t="inlineStr">
        <is>
          <t>S38_S3A2_RETRACT</t>
        </is>
      </c>
      <c r="E43" s="25" t="inlineStr">
        <is>
          <t>RET(5)</t>
        </is>
      </c>
      <c r="F43" s="26" t="inlineStr">
        <is>
          <t>E1; E4; E5; E6; E15</t>
        </is>
      </c>
      <c r="G43" s="25" t="inlineStr">
        <is>
          <t>ADDED</t>
        </is>
      </c>
    </row>
    <row r="44">
      <c r="A44" s="25" t="inlineStr">
        <is>
          <t>-</t>
        </is>
      </c>
      <c r="B44" s="26" t="inlineStr">
        <is>
          <t>(terminal)</t>
        </is>
      </c>
      <c r="C44" s="26" t="inlineStr">
        <is>
          <t>Cycle complete</t>
        </is>
      </c>
      <c r="D44" s="25" t="inlineStr">
        <is>
          <t>S39_CYCLE_COMPLETE</t>
        </is>
      </c>
      <c r="E44" s="25" t="inlineStr">
        <is>
          <t>terminal</t>
        </is>
      </c>
      <c r="F44" s="26" t="inlineStr">
        <is>
          <t>-</t>
        </is>
      </c>
      <c r="G44" s="25" t="inlineStr">
        <is>
          <t>ADDED</t>
        </is>
      </c>
    </row>
    <row r="46">
      <c r="A46" s="3" t="inlineStr">
        <is>
          <t>NOTES</t>
        </is>
      </c>
    </row>
    <row r="47" ht="42" customHeight="1" s="43">
      <c r="A47" s="44" t="inlineStr">
        <is>
          <t>ADDED (amber): 6 implicit retracts plus init and terminal. Sequence.xlsx never commands any actuator to retract, but a rod left extended physically blocks the next transport, so the cycle cannot repeat without them. CONFIRM against the real cell that each actuator does retract, and when.</t>
        </is>
      </c>
    </row>
    <row r="48" ht="42" customHeight="1" s="43">
      <c r="A48" s="42" t="inlineStr">
        <is>
          <t>ANOMALY (red), row 36: Excel reads "Conveyor Stop" immediately after the block is placed on the station 3 belt, and row 38 reads "Conveyor Stop" again after the row 37 position check. The pattern in rows 10-12 and 17-19 is Start -&gt; proximity check -&gt; Stop, so row 36 is implemented as START. The Excel text is NOT silently overwritten. CONFIRM which is correct.</t>
        </is>
      </c>
    </row>
    <row r="49" ht="42" customHeight="1" s="43">
      <c r="A49" s="42" t="inlineStr">
        <is>
          <t>TIMER (red): the only three time-driven transitions in the model. Sequence.xlsx supplies no completion signal for the manual steps, so there is nothing to wait for but the operator. Together they are 12.5 s of a 31.08 s cycle - 40% of the cycle time is currently invented.</t>
        </is>
      </c>
    </row>
  </sheetData>
  <mergeCells count="3">
    <mergeCell ref="A48:G48"/>
    <mergeCell ref="A49:G49"/>
    <mergeCell ref="A47:G4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9"/>
  <sheetViews>
    <sheetView workbookViewId="0">
      <pane ySplit="4" topLeftCell="A21" activePane="bottomLeft" state="frozen"/>
      <selection pane="bottomLeft" activeCell="A1" sqref="A1"/>
    </sheetView>
  </sheetViews>
  <sheetFormatPr baseColWidth="8" defaultRowHeight="14.4"/>
  <cols>
    <col width="7" customWidth="1" style="43" min="1" max="1"/>
    <col width="30" customWidth="1" style="43" min="2" max="2"/>
    <col width="62" customWidth="1" style="43" min="3" max="3"/>
    <col width="34" customWidth="1" style="43" min="4" max="4"/>
  </cols>
  <sheetData>
    <row r="1" ht="16.8" customHeight="1" s="43">
      <c r="A1" s="5" t="inlineStr">
        <is>
          <t>GOVERNING EQUATION SET</t>
        </is>
      </c>
    </row>
    <row r="2">
      <c r="A2" s="6" t="inlineStr">
        <is>
          <t>All implemented in factory_derivatives.m / factory_sensors.m / factory_plc.m, and dimensionally audited.</t>
        </is>
      </c>
    </row>
    <row r="4">
      <c r="A4" s="7" t="inlineStr">
        <is>
          <t>ID</t>
        </is>
      </c>
      <c r="B4" s="7" t="inlineStr">
        <is>
          <t>Name</t>
        </is>
      </c>
      <c r="C4" s="7" t="inlineStr">
        <is>
          <t>Equation</t>
        </is>
      </c>
      <c r="D4" s="7" t="inlineStr">
        <is>
          <t>Inputs consumed</t>
        </is>
      </c>
    </row>
    <row r="5" ht="40.05" customHeight="1" s="43">
      <c r="A5" s="29" t="inlineStr">
        <is>
          <t>E1</t>
        </is>
      </c>
      <c r="B5" s="15" t="inlineStr">
        <is>
          <t>Restriction mass flow (ISO 6358)</t>
        </is>
      </c>
      <c r="C5" s="30" t="inlineStr">
        <is>
          <t>mdot = C*rho0*Pu                    for Pd/Pu &lt;= b   (choked)
mdot = C*rho0*Pu*sqrt(1-((r-b)/(1-b))^2)   otherwise (subsonic),  r = Pd/Pu</t>
        </is>
      </c>
      <c r="D5" s="15" t="inlineStr">
        <is>
          <t>C, b, rho0</t>
        </is>
      </c>
    </row>
    <row r="6" ht="25.95" customHeight="1" s="43">
      <c r="A6" s="29" t="inlineStr">
        <is>
          <t>E2</t>
        </is>
      </c>
      <c r="B6" s="15" t="inlineStr">
        <is>
          <t>Receiver / manifold pressure</t>
        </is>
      </c>
      <c r="C6" s="30" t="inlineStr">
        <is>
          <t>dP/dt = (R*T/V)*(mdot_in - mdot_out)</t>
        </is>
      </c>
      <c r="D6" s="15" t="inlineStr">
        <is>
          <t>V_res, V_branch, R, T</t>
        </is>
      </c>
    </row>
    <row r="7" ht="25.95" customHeight="1" s="43">
      <c r="A7" s="29" t="inlineStr">
        <is>
          <t>E3</t>
        </is>
      </c>
      <c r="B7" s="15" t="inlineStr">
        <is>
          <t>Regulator (ideal reducing valve)</t>
        </is>
      </c>
      <c r="C7" s="30" t="inlineStr">
        <is>
          <t>P_supply = min(P_receiver, P_set)</t>
        </is>
      </c>
      <c r="D7" s="15" t="inlineStr">
        <is>
          <t>P_set</t>
        </is>
      </c>
    </row>
    <row r="8" ht="54" customHeight="1" s="43">
      <c r="A8" s="29" t="inlineStr">
        <is>
          <t>E4</t>
        </is>
      </c>
      <c r="B8" s="15" t="inlineStr">
        <is>
          <t>Cylinder chamber (polytropic, moving boundary)</t>
        </is>
      </c>
      <c r="C8" s="30" t="inlineStr">
        <is>
          <t>dPA/dt = (n*R*T/VA)*mdotA - (n*PA/VA)*( A_A*v)
dPB/dt = (n*R*T/VB)*mdotB - (n*PB/VB)*(-A_B*v)
VA = V_dead + A_A*x ,  VB = V_dead + A_B*(L-x)</t>
        </is>
      </c>
      <c r="D8" s="15" t="inlineStr">
        <is>
          <t>n, V_dead, A_A, A_B, L</t>
        </is>
      </c>
    </row>
    <row r="9" ht="25.95" customHeight="1" s="43">
      <c r="A9" s="29" t="inlineStr">
        <is>
          <t>E5</t>
        </is>
      </c>
      <c r="B9" s="15" t="inlineStr">
        <is>
          <t>Piston force balance</t>
        </is>
      </c>
      <c r="C9" s="30" t="inlineStr">
        <is>
          <t>m_pist*dv/dt = PA*A_A - PB*A_B - P_atm*(A_A-A_B) - F_fric + F_end - F_contact</t>
        </is>
      </c>
      <c r="D9" s="15" t="inlineStr">
        <is>
          <t>m_pist, A_A, A_B, P_atm</t>
        </is>
      </c>
    </row>
    <row r="10" ht="54" customHeight="1" s="43">
      <c r="A10" s="29" t="inlineStr">
        <is>
          <t>E6</t>
        </is>
      </c>
      <c r="B10" s="15" t="inlineStr">
        <is>
          <t>Cylinder friction</t>
        </is>
      </c>
      <c r="C10" s="30" t="inlineStr">
        <is>
          <t>F_fric  = c_visc*v + (F_coul0 + f_loss*F_drive)*tanh(v/v_eps)
F_drive = max[(PA-P_atm)*A_A, (PB-P_atm)*A_B, 0]
f_loss  = 1 - eta_force</t>
        </is>
      </c>
      <c r="D10" s="15" t="inlineStr">
        <is>
          <t>c_visc, F_coul0, eta_force, v_eps</t>
        </is>
      </c>
    </row>
    <row r="11" ht="25.95" customHeight="1" s="43">
      <c r="A11" s="29" t="inlineStr">
        <is>
          <t>E7</t>
        </is>
      </c>
      <c r="B11" s="15" t="inlineStr">
        <is>
          <t>End-stop contact (Hunt-Crossley)</t>
        </is>
      </c>
      <c r="C11" s="30" t="inlineStr">
        <is>
          <t>F = k*d + lam*d*ddot ,  F &gt;= 0</t>
        </is>
      </c>
      <c r="D11" s="15" t="inlineStr">
        <is>
          <t>k_end, lam_end</t>
        </is>
      </c>
    </row>
    <row r="12" ht="25.95" customHeight="1" s="43">
      <c r="A12" s="29" t="inlineStr">
        <is>
          <t>E8</t>
        </is>
      </c>
      <c r="B12" s="15" t="inlineStr">
        <is>
          <t>Rod / workpiece contact (Hunt-Crossley)</t>
        </is>
      </c>
      <c r="C12" s="30" t="inlineStr">
        <is>
          <t>F = k*d + lam*d*ddot ,  F &gt;= 0</t>
        </is>
      </c>
      <c r="D12" s="15" t="inlineStr">
        <is>
          <t>k_ct, lam_ct</t>
        </is>
      </c>
    </row>
    <row r="13" ht="40.05" customHeight="1" s="43">
      <c r="A13" s="29" t="inlineStr">
        <is>
          <t>E9</t>
        </is>
      </c>
      <c r="B13" s="15" t="inlineStr">
        <is>
          <t>Conveyor drivetrain</t>
        </is>
      </c>
      <c r="C13" s="30" t="inlineStr">
        <is>
          <t>J_eq*domega/dt = N*eta*T_motor - r*F_belt - T_fric
v_belt = r*omega ,  J_eq = J_pul + N^2*J_mot</t>
        </is>
      </c>
      <c r="D13" s="15" t="inlineStr">
        <is>
          <t>r_pul, N_gear, eta_gb, J_mot, J_pul</t>
        </is>
      </c>
    </row>
    <row r="14" ht="40.05" customHeight="1" s="43">
      <c r="A14" s="29" t="inlineStr">
        <is>
          <t>E10</t>
        </is>
      </c>
      <c r="B14" s="15" t="inlineStr">
        <is>
          <t>Belt speed loop (PI, ramp limited)</t>
        </is>
      </c>
      <c r="C14" s="30" t="inlineStr">
        <is>
          <t>T_motor = clamp(Kp*(v_ref-v_belt) + Ki*Int(v_ref-v_belt), +/-T_max)
|dv_ref/dt| &lt;= a_belt</t>
        </is>
      </c>
      <c r="D14" s="15" t="inlineStr">
        <is>
          <t>Kp_cv, Ki_cv, T_max, v_belt_sp, a_belt</t>
        </is>
      </c>
    </row>
    <row r="15" ht="25.95" customHeight="1" s="43">
      <c r="A15" s="29" t="inlineStr">
        <is>
          <t>E11</t>
        </is>
      </c>
      <c r="B15" s="15" t="inlineStr">
        <is>
          <t>Workpiece dynamics</t>
        </is>
      </c>
      <c r="C15" s="30" t="inlineStr">
        <is>
          <t>m_blk*dv/dt = sum(F_contact) + F_support_friction</t>
        </is>
      </c>
      <c r="D15" s="15" t="inlineStr">
        <is>
          <t>m_blk</t>
        </is>
      </c>
    </row>
    <row r="16" ht="25.95" customHeight="1" s="43">
      <c r="A16" s="29" t="inlineStr">
        <is>
          <t>E12</t>
        </is>
      </c>
      <c r="B16" s="15" t="inlineStr">
        <is>
          <t>Support friction (regularised Coulomb)</t>
        </is>
      </c>
      <c r="C16" s="30" t="inlineStr">
        <is>
          <t>F = -mu_k*N*tanh(|v_rel|/v_creep)*unit(v_rel) ,  N = m_blk*g</t>
        </is>
      </c>
      <c r="D16" s="15" t="inlineStr">
        <is>
          <t>mu_k, v_creep, m_blk, g</t>
        </is>
      </c>
    </row>
    <row r="17" ht="25.95" customHeight="1" s="43">
      <c r="A17" s="29" t="inlineStr">
        <is>
          <t>E13</t>
        </is>
      </c>
      <c r="B17" s="15" t="inlineStr">
        <is>
          <t>Engraving axis (PID with limits)</t>
        </is>
      </c>
      <c r="C17" s="30" t="inlineStr">
        <is>
          <t>F_axis = clamp(Kp*e + Kd*edot + Ki*Int(e), +/-F_ax_max)</t>
        </is>
      </c>
      <c r="D17" s="15" t="inlineStr">
        <is>
          <t>Kp_bz, Kd_bz, Ki_bz, F_ax_max, v_base, z_top</t>
        </is>
      </c>
    </row>
    <row r="18" ht="25.95" customHeight="1" s="43">
      <c r="A18" s="29" t="inlineStr">
        <is>
          <t>E14</t>
        </is>
      </c>
      <c r="B18" s="15" t="inlineStr">
        <is>
          <t>Proximity / camera</t>
        </is>
      </c>
      <c r="C18" s="30" t="inlineStr">
        <is>
          <t>TRUE when hypot(bx-px, by-py) &lt; r_prox</t>
        </is>
      </c>
      <c r="D18" s="15" t="inlineStr">
        <is>
          <t>r_prox, sensor positions</t>
        </is>
      </c>
    </row>
    <row r="19" ht="40.05" customHeight="1" s="43">
      <c r="A19" s="29" t="inlineStr">
        <is>
          <t>E15</t>
        </is>
      </c>
      <c r="B19" s="15" t="inlineStr">
        <is>
          <t>Reed switch (magnetic piston)</t>
        </is>
      </c>
      <c r="C19" s="30" t="inlineStr">
        <is>
          <t>EXT when x &gt;= x_trip ;  RET when x &lt;= x_trip_ret
Sensed at the switch clamp on the barrel, NOT at the mechanical end of stroke.</t>
        </is>
      </c>
      <c r="D19" s="15" t="inlineStr">
        <is>
          <t>x_trip</t>
        </is>
      </c>
    </row>
    <row r="20" ht="25.95" customHeight="1" s="43">
      <c r="A20" s="29" t="inlineStr">
        <is>
          <t>E16</t>
        </is>
      </c>
      <c r="B20" s="15" t="inlineStr">
        <is>
          <t>Height comparator</t>
        </is>
      </c>
      <c r="C20" s="30" t="inlineStr">
        <is>
          <t>HS_TOP when |z-z_top| &lt; z_tol ;  HS_BOT when |z| &lt; z_tol</t>
        </is>
      </c>
      <c r="D20" s="15" t="inlineStr">
        <is>
          <t>z_top, z_tol</t>
        </is>
      </c>
    </row>
    <row r="21" ht="54" customHeight="1" s="43">
      <c r="A21" s="29" t="inlineStr">
        <is>
          <t>E17</t>
        </is>
      </c>
      <c r="B21" s="15" t="inlineStr">
        <is>
          <t>Compressor pressure switch (hysteresis)</t>
        </is>
      </c>
      <c r="C21" s="30" t="inlineStr">
        <is>
          <t>pump = FALSE            when P_res &gt;= P_cut_out
pump = enable          when P_res &lt;= P_cut_in
pump = pump AND enable otherwise  (latches inside the band)</t>
        </is>
      </c>
      <c r="D21" s="15" t="inlineStr">
        <is>
          <t>P_cut_in, P_cut_out</t>
        </is>
      </c>
    </row>
    <row r="22" ht="25.95" customHeight="1" s="43">
      <c r="A22" s="29" t="inlineStr">
        <is>
          <t>E18</t>
        </is>
      </c>
      <c r="B22" s="15" t="inlineStr">
        <is>
          <t>Valve spool (first order)</t>
        </is>
      </c>
      <c r="C22" s="30" t="inlineStr">
        <is>
          <t>dsp/dt = (sp_cmd - sp)/tau_valve</t>
        </is>
      </c>
      <c r="D22" s="15" t="inlineStr">
        <is>
          <t>tau_sv, tau_dv</t>
        </is>
      </c>
    </row>
    <row r="23" ht="25.95" customHeight="1" s="43">
      <c r="A23" s="29" t="inlineStr">
        <is>
          <t>E19</t>
        </is>
      </c>
      <c r="B23" s="15" t="inlineStr">
        <is>
          <t>Safety relief</t>
        </is>
      </c>
      <c r="C23" s="30" t="inlineStr">
        <is>
          <t>mdot_relief = E1(C_relief, P_res, P_atm)  when P_res &gt; P_relief</t>
        </is>
      </c>
      <c r="D23" s="15" t="inlineStr">
        <is>
          <t>C_relief, P_relief</t>
        </is>
      </c>
    </row>
    <row r="24" ht="25.95" customHeight="1" s="43">
      <c r="A24" s="31" t="inlineStr">
        <is>
          <t>E20</t>
        </is>
      </c>
      <c r="B24" s="32" t="inlineStr">
        <is>
          <t>Operator timing (PLACEHOLDER, not physics)</t>
        </is>
      </c>
      <c r="C24" s="33" t="inlineStr">
        <is>
          <t>advance after t_op_notice / t_engrave / t_op_confirm</t>
        </is>
      </c>
      <c r="D24" s="32" t="inlineStr">
        <is>
          <t>t_op_notice, t_engrave, t_op_confirm</t>
        </is>
      </c>
    </row>
    <row r="26">
      <c r="A26" s="3" t="inlineStr">
        <is>
          <t>STANDARDS AND SOURCES</t>
        </is>
      </c>
    </row>
    <row r="27" ht="30" customHeight="1" s="43">
      <c r="A27" s="44" t="inlineStr">
        <is>
          <t>E1: ISO 6358 - Pneumatic fluid power: determination of flow-rate characteristics of components using compressible fluids. Defines sonic conductance C and critical pressure ratio b.  https://www.iso.org/standard/56612.html</t>
        </is>
      </c>
    </row>
    <row r="28" ht="30" customHeight="1" s="43">
      <c r="A28" s="44" t="inlineStr">
        <is>
          <t>E7/E8: Hunt, K.H. and Crossley, F.R.E. (1975), Coefficient of Restitution Interpreted as Damping in Vibroimpact, Journal of Applied Mechanics 42(2), 440-445.  https://doi.org/10.1115/1.3423596</t>
        </is>
      </c>
    </row>
    <row r="29" ht="30" customHeight="1" s="43">
      <c r="A29" s="44" t="inlineStr">
        <is>
          <t>E6: the 0.90 output-force efficiency is the Janatics catalogue allowance, held in JanaticsData.m as J.CYL.f_eff. Reproducing the catalogue 142 N annulus force at 6 bar is an automated test.</t>
        </is>
      </c>
    </row>
  </sheetData>
  <mergeCells count="3">
    <mergeCell ref="A29:D29"/>
    <mergeCell ref="A28:D28"/>
    <mergeCell ref="A27:D2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9"/>
  <sheetViews>
    <sheetView workbookViewId="0">
      <pane ySplit="6" topLeftCell="A9" activePane="bottomLeft" state="frozen"/>
      <selection pane="bottomLeft" activeCell="A1" sqref="A1"/>
    </sheetView>
  </sheetViews>
  <sheetFormatPr baseColWidth="8" defaultRowHeight="14.4"/>
  <cols>
    <col width="6" customWidth="1" style="43" min="1" max="1"/>
    <col width="30" customWidth="1" style="43" min="2" max="2"/>
    <col width="62" customWidth="1" style="43" min="3" max="3"/>
    <col width="44" customWidth="1" style="43" min="4" max="4"/>
    <col width="26" customWidth="1" style="43" min="5" max="5"/>
  </cols>
  <sheetData>
    <row r="1" ht="16.8" customHeight="1" s="43">
      <c r="A1" s="5" t="inlineStr">
        <is>
          <t>PLC ACCESS - connecting the model to the real machine</t>
        </is>
      </c>
    </row>
    <row r="2">
      <c r="A2" s="35" t="inlineStr">
        <is>
          <t>Steps to reach the Siemens S7 OPC UA server at 192.168.0.102. Work down in order; each section only makes sense once the one above it succeeds. Fill the YELLOW cells and send the sheet back.</t>
        </is>
      </c>
    </row>
    <row r="4" ht="30" customHeight="1" s="43">
      <c r="A4" s="48" t="inlineStr">
        <is>
          <t>NEVER TYPE A PASSWORD INTO THIS WORKBOOK. It is stored in a git repository. Say only WHETHER a login is needed; send the credential itself separately.</t>
        </is>
      </c>
    </row>
    <row r="6">
      <c r="A6" s="36" t="inlineStr">
        <is>
          <t>#</t>
        </is>
      </c>
      <c r="B6" s="36" t="inlineStr">
        <is>
          <t>Step</t>
        </is>
      </c>
      <c r="C6" s="36" t="inlineStr">
        <is>
          <t>What to do, and where</t>
        </is>
      </c>
      <c r="D6" s="36" t="inlineStr">
        <is>
          <t>Expected result</t>
        </is>
      </c>
      <c r="E6" s="36" t="inlineStr">
        <is>
          <t>YOUR ANSWER</t>
        </is>
      </c>
    </row>
    <row r="7">
      <c r="A7" s="49" t="inlineStr">
        <is>
          <t>A - NETWORK PATH   (do this first: if the PC cannot reach the PLC, nothing below matters)</t>
        </is>
      </c>
      <c r="B7" s="46" t="n"/>
      <c r="C7" s="46" t="n"/>
      <c r="D7" s="46" t="n"/>
      <c r="E7" s="47" t="n"/>
    </row>
    <row r="8">
      <c r="A8" s="15" t="inlineStr">
        <is>
          <t>A1</t>
        </is>
      </c>
      <c r="B8" s="29" t="inlineStr">
        <is>
          <t>Find this PC address</t>
        </is>
      </c>
      <c r="C8" s="15" t="inlineStr">
        <is>
          <t>Terminal, not MATLAB:    ipconfig</t>
        </is>
      </c>
      <c r="D8" s="15" t="inlineStr">
        <is>
          <t>An adapter showing IPv4 192.168.0.x</t>
        </is>
      </c>
      <c r="E8" s="39" t="n"/>
    </row>
    <row r="9" ht="26.4" customHeight="1" s="43">
      <c r="A9" s="15" t="inlineStr">
        <is>
          <t>A2</t>
        </is>
      </c>
      <c r="B9" s="29" t="inlineStr">
        <is>
          <t>Reach the PLC</t>
        </is>
      </c>
      <c r="C9" s="15" t="inlineStr">
        <is>
          <t>Terminal:    ping 192.168.0.102</t>
        </is>
      </c>
      <c r="D9" s="15" t="inlineStr">
        <is>
          <t>Replies. "Destination host unreachable" means wrong subnet or no route</t>
        </is>
      </c>
      <c r="E9" s="39" t="n"/>
    </row>
    <row r="10">
      <c r="A10" s="15" t="inlineStr">
        <is>
          <t>A3</t>
        </is>
      </c>
      <c r="B10" s="29" t="inlineStr">
        <is>
          <t>Check the OPC UA port</t>
        </is>
      </c>
      <c r="C10" s="15" t="inlineStr">
        <is>
          <t>PowerShell:    Test-NetConnection 192.168.0.102 -Port 4840</t>
        </is>
      </c>
      <c r="D10" s="15" t="inlineStr">
        <is>
          <t>TcpTestSucceeded : True</t>
        </is>
      </c>
      <c r="E10" s="39" t="n"/>
    </row>
    <row r="11" ht="26.4" customHeight="1" s="43">
      <c r="A11" s="15" t="inlineStr">
        <is>
          <t>A4</t>
        </is>
      </c>
      <c r="B11" s="29" t="inlineStr">
        <is>
          <t>If A3 failed, open the port</t>
        </is>
      </c>
      <c r="C11" s="15" t="inlineStr">
        <is>
          <t>Windows Defender Firewall &gt; Advanced settings &gt; Outbound Rules &gt; New Rule &gt; Port &gt; TCP 4840 &gt; Allow</t>
        </is>
      </c>
      <c r="D11" s="15" t="inlineStr">
        <is>
          <t>A3 now succeeds</t>
        </is>
      </c>
      <c r="E11" s="39" t="n"/>
    </row>
    <row r="12">
      <c r="A12" s="45" t="inlineStr">
        <is>
          <t>B - TURN THE OPC UA SERVER ON   (TIA Portal, then download to the PLC)</t>
        </is>
      </c>
      <c r="B12" s="46" t="n"/>
      <c r="C12" s="46" t="n"/>
      <c r="D12" s="46" t="n"/>
      <c r="E12" s="47" t="n"/>
    </row>
    <row r="13">
      <c r="A13" s="15" t="inlineStr">
        <is>
          <t>B1</t>
        </is>
      </c>
      <c r="B13" s="29" t="inlineStr">
        <is>
          <t>Open the CPU properties</t>
        </is>
      </c>
      <c r="C13" s="15" t="inlineStr">
        <is>
          <t>TIA Portal &gt; open the project &gt; select the CPU &gt; Properties</t>
        </is>
      </c>
      <c r="D13" s="15" t="inlineStr">
        <is>
          <t>Properties tree visible</t>
        </is>
      </c>
      <c r="E13" s="37" t="n"/>
    </row>
    <row r="14">
      <c r="A14" s="15" t="inlineStr">
        <is>
          <t>B2</t>
        </is>
      </c>
      <c r="B14" s="29" t="inlineStr">
        <is>
          <t>Activate the server</t>
        </is>
      </c>
      <c r="C14" s="15" t="inlineStr">
        <is>
          <t>Properties &gt; OPC UA &gt; Server &gt; tick "Activate OPC UA server"</t>
        </is>
      </c>
      <c r="D14" s="15" t="inlineStr">
        <is>
          <t>Checkbox ticked</t>
        </is>
      </c>
      <c r="E14" s="39" t="n"/>
    </row>
    <row r="15">
      <c r="A15" s="15" t="inlineStr">
        <is>
          <t>B3</t>
        </is>
      </c>
      <c r="B15" s="29" t="inlineStr">
        <is>
          <t>Note the port</t>
        </is>
      </c>
      <c r="C15" s="15" t="inlineStr">
        <is>
          <t>Same page. Default is 4840</t>
        </is>
      </c>
      <c r="D15" s="15" t="inlineStr">
        <is>
          <t>Port number recorded</t>
        </is>
      </c>
      <c r="E15" s="39" t="n"/>
    </row>
    <row r="16" ht="39.6" customHeight="1" s="43">
      <c r="A16" s="15" t="inlineStr">
        <is>
          <t>B4</t>
        </is>
      </c>
      <c r="B16" s="29" t="inlineStr">
        <is>
          <t>Check the runtime licence</t>
        </is>
      </c>
      <c r="C16" s="15" t="inlineStr">
        <is>
          <t>Same page, licence section. S7-1500 and recent S7-1200 firmware need a SIMATIC OPC UA runtime licence. Without one the server does not start even when the box is ticked</t>
        </is>
      </c>
      <c r="D16" s="15" t="inlineStr">
        <is>
          <t>A licence is assigned. If not, this is a purchase and blocks everything below</t>
        </is>
      </c>
      <c r="E16" s="39" t="n"/>
    </row>
    <row r="17" ht="26.4" customHeight="1" s="43">
      <c r="A17" s="15" t="inlineStr">
        <is>
          <t>B5</t>
        </is>
      </c>
      <c r="B17" s="29" t="inlineStr">
        <is>
          <t>Choose a security policy</t>
        </is>
      </c>
      <c r="C17" s="15" t="inlineStr">
        <is>
          <t>Properties &gt; OPC UA &gt; Server &gt; Security. Simplest for a lab: permit "No security" and anonymous access</t>
        </is>
      </c>
      <c r="D17" s="15" t="inlineStr">
        <is>
          <t>Policy chosen. If your site forbids open access, note the policy instead and we will use a certificate</t>
        </is>
      </c>
      <c r="E17" s="39" t="n"/>
    </row>
    <row r="18" ht="26.4" customHeight="1" s="43">
      <c r="A18" s="15" t="inlineStr">
        <is>
          <t>B6</t>
        </is>
      </c>
      <c r="B18" s="29" t="inlineStr">
        <is>
          <t>Confirm the tags are published</t>
        </is>
      </c>
      <c r="C18" s="15" t="inlineStr">
        <is>
          <t>Properties &gt; OPC UA &gt; Server &gt; Export, or the server interface list. The register shows namespace ns=4, every tag in DB59</t>
        </is>
      </c>
      <c r="D18" s="15" t="inlineStr">
        <is>
          <t>DB_Global is visible in the server interface</t>
        </is>
      </c>
      <c r="E18" s="39" t="n"/>
    </row>
    <row r="19" ht="26.4" customHeight="1" s="43">
      <c r="A19" s="15" t="inlineStr">
        <is>
          <t>B7</t>
        </is>
      </c>
      <c r="B19" s="29" t="inlineStr">
        <is>
          <t>Compile and download</t>
        </is>
      </c>
      <c r="C19" s="15" t="inlineStr">
        <is>
          <t>Compile the hardware configuration, then download to the PLC</t>
        </is>
      </c>
      <c r="D19" s="15" t="inlineStr">
        <is>
          <t>THE SERVER ONLY STARTS AFTER A DOWNLOAD. Ticking the box alone does nothing</t>
        </is>
      </c>
      <c r="E19" s="37" t="n"/>
    </row>
    <row r="20">
      <c r="A20" s="45" t="inlineStr">
        <is>
          <t>C - THE ENDPOINT</t>
        </is>
      </c>
      <c r="B20" s="46" t="n"/>
      <c r="C20" s="46" t="n"/>
      <c r="D20" s="46" t="n"/>
      <c r="E20" s="47" t="n"/>
    </row>
    <row r="21">
      <c r="A21" s="15" t="inlineStr">
        <is>
          <t>C1</t>
        </is>
      </c>
      <c r="B21" s="29" t="inlineStr">
        <is>
          <t>Endpoint URL</t>
        </is>
      </c>
      <c r="C21" s="15" t="inlineStr">
        <is>
          <t>opc.tcp://192.168.0.102:4840    (adjust if B3 gave a different port)</t>
        </is>
      </c>
      <c r="D21" s="15" t="inlineStr">
        <is>
          <t>URL recorded</t>
        </is>
      </c>
      <c r="E21" s="39" t="n"/>
    </row>
    <row r="22" ht="26.4" customHeight="1" s="43">
      <c r="A22" s="15" t="inlineStr">
        <is>
          <t>C2</t>
        </is>
      </c>
      <c r="B22" s="29" t="inlineStr">
        <is>
          <t>Discovery is optional</t>
        </is>
      </c>
      <c r="C22" s="15" t="inlineStr">
        <is>
          <t>opcuaserverinfo() needs the Local Discovery Service running. If it finds nothing that is NOT a failure - connect with the endpoint URL directly</t>
        </is>
      </c>
      <c r="D22" s="15" t="inlineStr">
        <is>
          <t>Understood</t>
        </is>
      </c>
      <c r="E22" s="37" t="n"/>
    </row>
    <row r="23">
      <c r="A23" s="45" t="inlineStr">
        <is>
          <t>D - VERIFY FROM MATLAB   (paste one line at a time at the MATLAB prompt)</t>
        </is>
      </c>
      <c r="B23" s="46" t="n"/>
      <c r="C23" s="46" t="n"/>
      <c r="D23" s="46" t="n"/>
      <c r="E23" s="47" t="n"/>
    </row>
    <row r="24" ht="26.4" customHeight="1" s="43">
      <c r="A24" s="15" t="inlineStr">
        <is>
          <t>D1</t>
        </is>
      </c>
      <c r="B24" s="29" t="inlineStr">
        <is>
          <t>Create the client</t>
        </is>
      </c>
      <c r="C24" s="15" t="inlineStr">
        <is>
          <t>uaClient = opcua('opc.tcp://192.168.0.102:4840')</t>
        </is>
      </c>
      <c r="D24" s="15" t="inlineStr">
        <is>
          <t>An OPC UA client object prints, showing the server name</t>
        </is>
      </c>
      <c r="E24" s="39" t="n"/>
    </row>
    <row r="25" ht="26.4" customHeight="1" s="43">
      <c r="A25" s="15" t="inlineStr">
        <is>
          <t>D2</t>
        </is>
      </c>
      <c r="B25" s="29" t="inlineStr">
        <is>
          <t>Connect</t>
        </is>
      </c>
      <c r="C25" s="15" t="inlineStr">
        <is>
          <t>connect(uaClient)</t>
        </is>
      </c>
      <c r="D25" s="15" t="inlineStr">
        <is>
          <t>Status becomes Connected. If a login is needed: connect(uaClient, 'user', 'password')</t>
        </is>
      </c>
      <c r="E25" s="39" t="n"/>
    </row>
    <row r="26">
      <c r="A26" s="15" t="inlineStr">
        <is>
          <t>D3</t>
        </is>
      </c>
      <c r="B26" s="29" t="inlineStr">
        <is>
          <t>List the namespace</t>
        </is>
      </c>
      <c r="C26" s="15" t="inlineStr">
        <is>
          <t>ns = browseNamespace(uaClient)</t>
        </is>
      </c>
      <c r="D26" s="15" t="inlineStr">
        <is>
          <t>A node tree containing DB_Global</t>
        </is>
      </c>
      <c r="E26" s="39" t="n"/>
    </row>
    <row r="27">
      <c r="A27" s="15" t="inlineStr">
        <is>
          <t>D4</t>
        </is>
      </c>
      <c r="B27" s="29" t="inlineStr">
        <is>
          <t>Read one real tag</t>
        </is>
      </c>
      <c r="C27" s="15" t="inlineStr">
        <is>
          <t>Browse to DB_Global &gt; System &gt; Cycle_Completed and read it</t>
        </is>
      </c>
      <c r="D27" s="15" t="inlineStr">
        <is>
          <t>A true or false value comes back</t>
        </is>
      </c>
      <c r="E27" s="39" t="n"/>
    </row>
    <row r="28">
      <c r="A28" s="45" t="inlineStr">
        <is>
          <t>E - SEND BACK</t>
        </is>
      </c>
      <c r="B28" s="46" t="n"/>
      <c r="C28" s="46" t="n"/>
      <c r="D28" s="46" t="n"/>
      <c r="E28" s="47" t="n"/>
    </row>
    <row r="29">
      <c r="A29" s="15" t="inlineStr">
        <is>
          <t>E1</t>
        </is>
      </c>
      <c r="B29" s="29" t="inlineStr">
        <is>
          <t>Endpoint URL that worked</t>
        </is>
      </c>
      <c r="C29" s="15" t="n"/>
      <c r="D29" s="15" t="n"/>
      <c r="E29" s="39" t="n"/>
    </row>
    <row r="30">
      <c r="A30" s="15" t="inlineStr">
        <is>
          <t>E2</t>
        </is>
      </c>
      <c r="B30" s="29" t="inlineStr">
        <is>
          <t>Security policy required</t>
        </is>
      </c>
      <c r="C30" s="15" t="inlineStr">
        <is>
          <t>None / Basic256Sha256 / other</t>
        </is>
      </c>
      <c r="D30" s="15" t="n"/>
      <c r="E30" s="39" t="n"/>
    </row>
    <row r="31">
      <c r="A31" s="15" t="inlineStr">
        <is>
          <t>E3</t>
        </is>
      </c>
      <c r="B31" s="29" t="inlineStr">
        <is>
          <t>Does it need a username?</t>
        </is>
      </c>
      <c r="C31" s="15" t="inlineStr">
        <is>
          <t>YES or NO only. DO NOT TYPE THE PASSWORD HERE</t>
        </is>
      </c>
      <c r="D31" s="15" t="n"/>
      <c r="E31" s="39" t="n"/>
    </row>
    <row r="32">
      <c r="A32" s="15" t="inlineStr">
        <is>
          <t>E4</t>
        </is>
      </c>
      <c r="B32" s="29" t="inlineStr">
        <is>
          <t>Namespace index for DB_Global</t>
        </is>
      </c>
      <c r="C32" s="15" t="inlineStr">
        <is>
          <t>The tag register suggests 4</t>
        </is>
      </c>
      <c r="D32" s="15" t="n"/>
      <c r="E32" s="39" t="n"/>
    </row>
    <row r="33">
      <c r="A33" s="15" t="inlineStr">
        <is>
          <t>E5</t>
        </is>
      </c>
      <c r="B33" s="29" t="inlineStr">
        <is>
          <t>Anything that failed</t>
        </is>
      </c>
      <c r="C33" s="15" t="inlineStr">
        <is>
          <t>Paste the exact error text - the wording identifies the cause</t>
        </is>
      </c>
      <c r="D33" s="15" t="n"/>
      <c r="E33" s="39" t="n"/>
    </row>
    <row r="35">
      <c r="B35" s="3" t="inlineStr">
        <is>
          <t>LEGEND</t>
        </is>
      </c>
    </row>
    <row r="36">
      <c r="B36" s="35" t="inlineStr">
        <is>
          <t>Yellow cells are yours to fill in. Everything else is instruction.</t>
        </is>
      </c>
    </row>
    <row r="37">
      <c r="B37" s="35" t="inlineStr">
        <is>
          <t>Why this matters: the model is an offline simulation today. Reading these tags live is what makes it a digital twin.</t>
        </is>
      </c>
    </row>
    <row r="38">
      <c r="B38" s="35" t="inlineStr">
        <is>
          <t>Source: the tag register in plc/PLC_Tag_List.xlsx, and PLC_Dashboard/app.py which already reaches this PLC over snap7 at rack 0 slot 1.</t>
        </is>
      </c>
    </row>
    <row r="39">
      <c r="B39" s="35" t="inlineStr">
        <is>
          <t>Recorded 2026-08-25. opcuaserverinfo(192.168.0.102) currently finds no server from this workstation, which is why section A comes first.</t>
        </is>
      </c>
    </row>
  </sheetData>
  <mergeCells count="6">
    <mergeCell ref="A12:E12"/>
    <mergeCell ref="A4:E4"/>
    <mergeCell ref="A20:E20"/>
    <mergeCell ref="A7:E7"/>
    <mergeCell ref="A28:E28"/>
    <mergeCell ref="A23:E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2026-08-21T22:20:08Z</dcterms:created>
  <dcterms:modified xmlns:dcterms="http://purl.org/dc/terms/" xmlns:xsi="http://www.w3.org/2001/XMLSchema-instance" xsi:type="dcterms:W3CDTF">2026-09-02T10:37:33Z</dcterms:modified>
  <cp:lastModifiedBy>Shashank Prasad</cp:lastModifiedBy>
</cp:coreProperties>
</file>